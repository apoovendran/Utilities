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mc:AlternateContent xmlns:mc="http://schemas.openxmlformats.org/markup-compatibility/2006">
    <mc:Choice Requires="x15">
      <x15ac:absPath xmlns:x15ac="http://schemas.microsoft.com/office/spreadsheetml/2010/11/ac" url="C:\Poov\Cloud\AP_GD\github\Utilities\F2_EQ_Zerodha\F2_EQ_Zerodha_V1\"/>
    </mc:Choice>
  </mc:AlternateContent>
  <xr:revisionPtr revIDLastSave="0" documentId="13_ncr:1_{4DF55EEC-A072-49F3-AE57-DDC0CB7CED3E}" xr6:coauthVersionLast="45" xr6:coauthVersionMax="45" xr10:uidLastSave="{00000000-0000-0000-0000-000000000000}"/>
  <bookViews>
    <workbookView xWindow="-110" yWindow="-110" windowWidth="19420" windowHeight="10420" tabRatio="682" xr2:uid="{00000000-000D-0000-FFFF-FFFF00000000}"/>
  </bookViews>
  <sheets>
    <sheet name="RM" sheetId="16" r:id="rId1"/>
    <sheet name="Bhuv" sheetId="13" r:id="rId2"/>
    <sheet name="TB" sheetId="1" r:id="rId3"/>
    <sheet name="Holdings" sheetId="3" r:id="rId4"/>
    <sheet name="WL" sheetId="12" r:id="rId5"/>
    <sheet name="WLH" sheetId="14" r:id="rId6"/>
    <sheet name="MM" sheetId="7" r:id="rId7"/>
    <sheet name="UM" sheetId="18" r:id="rId8"/>
    <sheet name="TM" sheetId="17" r:id="rId9"/>
    <sheet name="Indices" sheetId="9" r:id="rId10"/>
  </sheets>
  <definedNames>
    <definedName name="_xlnm._FilterDatabase" localSheetId="1" hidden="1">Bhuv!$A$1:$M$1542</definedName>
    <definedName name="_xlnm._FilterDatabase" localSheetId="9" hidden="1">Indices!$A$1:$H$158</definedName>
    <definedName name="_xlnm._FilterDatabase" localSheetId="2" hidden="1">TB!$A$1:$R$14</definedName>
    <definedName name="_xlnm._FilterDatabase" localSheetId="4" hidden="1">WL!$A$1:$P$45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 i="12" l="1"/>
  <c r="G4" i="12"/>
  <c r="G5" i="12"/>
  <c r="G6" i="12"/>
  <c r="G7" i="12"/>
  <c r="G8" i="12"/>
  <c r="G9" i="12"/>
  <c r="G10" i="12"/>
  <c r="G11" i="12"/>
  <c r="G12" i="12"/>
  <c r="G13" i="12"/>
  <c r="G14" i="12"/>
  <c r="G15" i="12"/>
  <c r="G16" i="12"/>
  <c r="G17" i="12"/>
  <c r="G18" i="12"/>
  <c r="G19" i="12"/>
  <c r="G20" i="12"/>
  <c r="G21" i="12"/>
  <c r="G22" i="12"/>
  <c r="G23" i="12"/>
  <c r="G24" i="12"/>
  <c r="G25" i="12"/>
  <c r="G26" i="12"/>
  <c r="G27" i="12"/>
  <c r="G28" i="12"/>
  <c r="G29" i="12"/>
  <c r="G30" i="12"/>
  <c r="G31" i="12"/>
  <c r="G32" i="12"/>
  <c r="G33" i="12"/>
  <c r="G34" i="12"/>
  <c r="G35" i="12"/>
  <c r="G36" i="12"/>
  <c r="G37" i="12"/>
  <c r="G38" i="12"/>
  <c r="G39" i="12"/>
  <c r="G40" i="12"/>
  <c r="G41" i="12"/>
  <c r="G42" i="12"/>
  <c r="G43" i="12"/>
  <c r="G44" i="12"/>
  <c r="G45" i="12"/>
  <c r="G2" i="12"/>
  <c r="I37" i="12" l="1"/>
  <c r="N37" i="12"/>
  <c r="I35" i="12"/>
  <c r="N35" i="12"/>
  <c r="I33" i="12"/>
  <c r="N33" i="12"/>
  <c r="I32" i="12"/>
  <c r="N32" i="12"/>
  <c r="I24" i="12"/>
  <c r="N24" i="12"/>
  <c r="I16" i="12"/>
  <c r="N16" i="12"/>
  <c r="K9" i="12"/>
  <c r="N9" i="12"/>
  <c r="I45" i="12"/>
  <c r="N45" i="12"/>
  <c r="I42" i="12"/>
  <c r="N42" i="12"/>
  <c r="I34" i="12"/>
  <c r="N34" i="12"/>
  <c r="I41" i="12"/>
  <c r="N41" i="12"/>
  <c r="I40" i="12"/>
  <c r="N40" i="12"/>
  <c r="I39" i="12"/>
  <c r="N39" i="12"/>
  <c r="I31" i="12"/>
  <c r="N31" i="12"/>
  <c r="K23" i="12"/>
  <c r="N23" i="12"/>
  <c r="K15" i="12"/>
  <c r="N15" i="12"/>
  <c r="I8" i="12"/>
  <c r="N8" i="12"/>
  <c r="I44" i="12"/>
  <c r="N44" i="12"/>
  <c r="I2" i="12"/>
  <c r="N2" i="12"/>
  <c r="I38" i="12"/>
  <c r="N38" i="12"/>
  <c r="I30" i="12"/>
  <c r="N30" i="12"/>
  <c r="I22" i="12"/>
  <c r="N22" i="12"/>
  <c r="I14" i="12"/>
  <c r="N14" i="12"/>
  <c r="I7" i="12"/>
  <c r="N7" i="12"/>
  <c r="I21" i="12"/>
  <c r="N21" i="12"/>
  <c r="I6" i="12"/>
  <c r="N6" i="12"/>
  <c r="I36" i="12"/>
  <c r="N36" i="12"/>
  <c r="I28" i="12"/>
  <c r="N28" i="12"/>
  <c r="I20" i="12"/>
  <c r="N20" i="12"/>
  <c r="I13" i="12"/>
  <c r="N13" i="12"/>
  <c r="I5" i="12"/>
  <c r="N5" i="12"/>
  <c r="I29" i="12"/>
  <c r="N29" i="12"/>
  <c r="I19" i="12"/>
  <c r="N19" i="12"/>
  <c r="I12" i="12"/>
  <c r="N12" i="12"/>
  <c r="I43" i="12"/>
  <c r="N43" i="12"/>
  <c r="I18" i="12"/>
  <c r="N18" i="12"/>
  <c r="I11" i="12"/>
  <c r="N11" i="12"/>
  <c r="I4" i="12"/>
  <c r="N4" i="12"/>
  <c r="I27" i="12"/>
  <c r="N27" i="12"/>
  <c r="I26" i="12"/>
  <c r="N26" i="12"/>
  <c r="I25" i="12"/>
  <c r="N25" i="12"/>
  <c r="I17" i="12"/>
  <c r="N17" i="12"/>
  <c r="I10" i="12"/>
  <c r="N10" i="12"/>
  <c r="I3" i="12"/>
  <c r="N3" i="12"/>
  <c r="K22" i="12"/>
  <c r="K14" i="12"/>
  <c r="K8" i="12"/>
  <c r="K2" i="12"/>
  <c r="K38" i="12"/>
  <c r="I9" i="12"/>
  <c r="K30" i="12"/>
  <c r="I23" i="12"/>
  <c r="K40" i="12"/>
  <c r="K32" i="12"/>
  <c r="K24" i="12"/>
  <c r="K16" i="12"/>
  <c r="K10" i="12"/>
  <c r="K3" i="12"/>
  <c r="I15" i="12"/>
  <c r="K39" i="12"/>
  <c r="K31" i="12"/>
  <c r="K45" i="12"/>
  <c r="K37" i="12"/>
  <c r="K29" i="12"/>
  <c r="K21" i="12"/>
  <c r="K7" i="12"/>
  <c r="K44" i="12"/>
  <c r="K36" i="12"/>
  <c r="K28" i="12"/>
  <c r="K20" i="12"/>
  <c r="K13" i="12"/>
  <c r="K6" i="12"/>
  <c r="K43" i="12"/>
  <c r="K35" i="12"/>
  <c r="K27" i="12"/>
  <c r="K19" i="12"/>
  <c r="K5" i="12"/>
  <c r="K42" i="12"/>
  <c r="K34" i="12"/>
  <c r="K26" i="12"/>
  <c r="K18" i="12"/>
  <c r="K12" i="12"/>
  <c r="K41" i="12"/>
  <c r="K33" i="12"/>
  <c r="K25" i="12"/>
  <c r="K17" i="12"/>
  <c r="K11" i="12"/>
  <c r="K4" i="12"/>
  <c r="E25" i="3"/>
  <c r="A29" i="12"/>
  <c r="E29" i="12"/>
  <c r="M29" i="12" s="1"/>
  <c r="D29" i="12"/>
  <c r="L29" i="12" l="1"/>
  <c r="J29" i="12"/>
  <c r="A3" i="12"/>
  <c r="A4" i="12"/>
  <c r="A5" i="12"/>
  <c r="A6" i="12"/>
  <c r="A7" i="12"/>
  <c r="A8" i="12"/>
  <c r="A9" i="12"/>
  <c r="A10" i="12"/>
  <c r="A11" i="12"/>
  <c r="A12" i="12"/>
  <c r="A13" i="12"/>
  <c r="A14" i="12"/>
  <c r="A15" i="12"/>
  <c r="A16" i="12"/>
  <c r="A17" i="12"/>
  <c r="A18" i="12"/>
  <c r="A19" i="12"/>
  <c r="A20" i="12"/>
  <c r="A21" i="12"/>
  <c r="A22" i="12"/>
  <c r="A23" i="12"/>
  <c r="A24" i="12"/>
  <c r="A25" i="12"/>
  <c r="A26" i="12"/>
  <c r="A27" i="12"/>
  <c r="A28" i="12"/>
  <c r="A30" i="12"/>
  <c r="A31" i="12"/>
  <c r="A32" i="12"/>
  <c r="A33" i="12"/>
  <c r="A34" i="12"/>
  <c r="A35" i="12"/>
  <c r="A36" i="12"/>
  <c r="A37" i="12"/>
  <c r="A38" i="12"/>
  <c r="A39" i="12"/>
  <c r="A40" i="12"/>
  <c r="A41" i="12"/>
  <c r="A42" i="12"/>
  <c r="A43" i="12"/>
  <c r="A44" i="12"/>
  <c r="A45" i="12"/>
  <c r="A2" i="12"/>
  <c r="E3" i="12"/>
  <c r="M3" i="12" s="1"/>
  <c r="E4" i="12"/>
  <c r="M4" i="12" s="1"/>
  <c r="E5" i="12"/>
  <c r="M5" i="12" s="1"/>
  <c r="E6" i="12"/>
  <c r="M6" i="12" s="1"/>
  <c r="E7" i="12"/>
  <c r="M7" i="12" s="1"/>
  <c r="E8" i="12"/>
  <c r="M8" i="12" s="1"/>
  <c r="E9" i="12"/>
  <c r="M9" i="12" s="1"/>
  <c r="E10" i="12"/>
  <c r="M10" i="12" s="1"/>
  <c r="E11" i="12"/>
  <c r="M11" i="12" s="1"/>
  <c r="E12" i="12"/>
  <c r="M12" i="12" s="1"/>
  <c r="E13" i="12"/>
  <c r="M13" i="12" s="1"/>
  <c r="E14" i="12"/>
  <c r="M14" i="12" s="1"/>
  <c r="E15" i="12"/>
  <c r="M15" i="12" s="1"/>
  <c r="E16" i="12"/>
  <c r="M16" i="12" s="1"/>
  <c r="E17" i="12"/>
  <c r="M17" i="12" s="1"/>
  <c r="E18" i="12"/>
  <c r="M18" i="12" s="1"/>
  <c r="E19" i="12"/>
  <c r="M19" i="12" s="1"/>
  <c r="E20" i="12"/>
  <c r="M20" i="12" s="1"/>
  <c r="E21" i="12"/>
  <c r="M21" i="12" s="1"/>
  <c r="E22" i="12"/>
  <c r="M22" i="12" s="1"/>
  <c r="E23" i="12"/>
  <c r="M23" i="12" s="1"/>
  <c r="E24" i="12"/>
  <c r="M24" i="12" s="1"/>
  <c r="E25" i="12"/>
  <c r="M25" i="12" s="1"/>
  <c r="E26" i="12"/>
  <c r="M26" i="12" s="1"/>
  <c r="E27" i="12"/>
  <c r="M27" i="12" s="1"/>
  <c r="E28" i="12"/>
  <c r="M28" i="12" s="1"/>
  <c r="E30" i="12"/>
  <c r="M30" i="12" s="1"/>
  <c r="E31" i="12"/>
  <c r="M31" i="12" s="1"/>
  <c r="E32" i="12"/>
  <c r="M32" i="12" s="1"/>
  <c r="E33" i="12"/>
  <c r="M33" i="12" s="1"/>
  <c r="E34" i="12"/>
  <c r="M34" i="12" s="1"/>
  <c r="E35" i="12"/>
  <c r="M35" i="12" s="1"/>
  <c r="E36" i="12"/>
  <c r="M36" i="12" s="1"/>
  <c r="E37" i="12"/>
  <c r="M37" i="12" s="1"/>
  <c r="E38" i="12"/>
  <c r="M38" i="12" s="1"/>
  <c r="E39" i="12"/>
  <c r="M39" i="12" s="1"/>
  <c r="E40" i="12"/>
  <c r="M40" i="12" s="1"/>
  <c r="E41" i="12"/>
  <c r="M41" i="12" s="1"/>
  <c r="E42" i="12"/>
  <c r="M42" i="12" s="1"/>
  <c r="E43" i="12"/>
  <c r="M43" i="12" s="1"/>
  <c r="E44" i="12"/>
  <c r="M44" i="12" s="1"/>
  <c r="E45" i="12"/>
  <c r="M45" i="12" s="1"/>
  <c r="E2" i="12"/>
  <c r="M2" i="12" s="1"/>
  <c r="D3" i="12"/>
  <c r="D4" i="12"/>
  <c r="D5" i="12"/>
  <c r="D6" i="12"/>
  <c r="D7" i="12"/>
  <c r="D8" i="12"/>
  <c r="D9" i="12"/>
  <c r="D10" i="12"/>
  <c r="D11" i="12"/>
  <c r="D12" i="12"/>
  <c r="D13" i="12"/>
  <c r="D14" i="12"/>
  <c r="D15" i="12"/>
  <c r="D16" i="12"/>
  <c r="D17" i="12"/>
  <c r="D18" i="12"/>
  <c r="D19" i="12"/>
  <c r="D20" i="12"/>
  <c r="D21" i="12"/>
  <c r="D22" i="12"/>
  <c r="D23" i="12"/>
  <c r="D24" i="12"/>
  <c r="D25" i="12"/>
  <c r="D26" i="12"/>
  <c r="D27" i="12"/>
  <c r="D28" i="12"/>
  <c r="D30" i="12"/>
  <c r="D31" i="12"/>
  <c r="D32" i="12"/>
  <c r="D33" i="12"/>
  <c r="D34" i="12"/>
  <c r="D35" i="12"/>
  <c r="D36" i="12"/>
  <c r="D37" i="12"/>
  <c r="D38" i="12"/>
  <c r="D39" i="12"/>
  <c r="D40" i="12"/>
  <c r="D41" i="12"/>
  <c r="D42" i="12"/>
  <c r="D43" i="12"/>
  <c r="D44" i="12"/>
  <c r="D45" i="12"/>
  <c r="D2" i="12"/>
  <c r="L41" i="12" l="1"/>
  <c r="J41" i="12"/>
  <c r="L33" i="12"/>
  <c r="J33" i="12"/>
  <c r="J24" i="12"/>
  <c r="L24" i="12"/>
  <c r="J16" i="12"/>
  <c r="L16" i="12"/>
  <c r="J10" i="12"/>
  <c r="L10" i="12"/>
  <c r="J3" i="12"/>
  <c r="L3" i="12"/>
  <c r="L32" i="12"/>
  <c r="J32" i="12"/>
  <c r="J31" i="12"/>
  <c r="L31" i="12"/>
  <c r="J14" i="12"/>
  <c r="L14" i="12"/>
  <c r="L30" i="12"/>
  <c r="J30" i="12"/>
  <c r="L36" i="12"/>
  <c r="J36" i="12"/>
  <c r="J19" i="12"/>
  <c r="L19" i="12"/>
  <c r="J5" i="12"/>
  <c r="L5" i="12"/>
  <c r="L43" i="12"/>
  <c r="J43" i="12"/>
  <c r="L35" i="12"/>
  <c r="J35" i="12"/>
  <c r="L26" i="12"/>
  <c r="J26" i="12"/>
  <c r="L18" i="12"/>
  <c r="J18" i="12"/>
  <c r="L12" i="12"/>
  <c r="J12" i="12"/>
  <c r="J42" i="12"/>
  <c r="L42" i="12"/>
  <c r="L34" i="12"/>
  <c r="J34" i="12"/>
  <c r="L25" i="12"/>
  <c r="J25" i="12"/>
  <c r="L17" i="12"/>
  <c r="J17" i="12"/>
  <c r="J11" i="12"/>
  <c r="L11" i="12"/>
  <c r="J4" i="12"/>
  <c r="L4" i="12"/>
  <c r="L40" i="12"/>
  <c r="J40" i="12"/>
  <c r="L23" i="12"/>
  <c r="J23" i="12"/>
  <c r="L15" i="12"/>
  <c r="J15" i="12"/>
  <c r="J9" i="12"/>
  <c r="L9" i="12"/>
  <c r="J39" i="12"/>
  <c r="L39" i="12"/>
  <c r="L22" i="12"/>
  <c r="J22" i="12"/>
  <c r="J8" i="12"/>
  <c r="L8" i="12"/>
  <c r="L38" i="12"/>
  <c r="J38" i="12"/>
  <c r="L7" i="12"/>
  <c r="J7" i="12"/>
  <c r="L45" i="12"/>
  <c r="J45" i="12"/>
  <c r="L37" i="12"/>
  <c r="J37" i="12"/>
  <c r="L28" i="12"/>
  <c r="J28" i="12"/>
  <c r="L20" i="12"/>
  <c r="J20" i="12"/>
  <c r="L13" i="12"/>
  <c r="J13" i="12"/>
  <c r="J6" i="12"/>
  <c r="L6" i="12"/>
  <c r="L2" i="12"/>
  <c r="J2" i="12"/>
  <c r="L21" i="12"/>
  <c r="J21" i="12"/>
  <c r="L44" i="12"/>
  <c r="J44" i="12"/>
  <c r="L27" i="12"/>
  <c r="J27" i="12"/>
  <c r="K3" i="7"/>
  <c r="K4" i="7"/>
  <c r="K5" i="7"/>
  <c r="K6" i="7"/>
  <c r="K7" i="7"/>
  <c r="K2" i="7"/>
  <c r="J3" i="7"/>
  <c r="J4" i="7"/>
  <c r="J5" i="7"/>
  <c r="J6" i="7"/>
  <c r="J7" i="7"/>
  <c r="J2" i="7"/>
  <c r="E3" i="3"/>
  <c r="E4" i="3"/>
  <c r="E5" i="3"/>
  <c r="E6" i="3"/>
  <c r="E7" i="3"/>
  <c r="E8" i="3"/>
  <c r="E9" i="3"/>
  <c r="E10" i="3"/>
  <c r="E11" i="3"/>
  <c r="E12" i="3"/>
  <c r="E13" i="3"/>
  <c r="E14" i="3"/>
  <c r="E15" i="3"/>
  <c r="E16" i="3"/>
  <c r="E17" i="3"/>
  <c r="E18" i="3"/>
  <c r="E19" i="3"/>
  <c r="E20" i="3"/>
  <c r="E21" i="3"/>
  <c r="E22" i="3"/>
  <c r="E23" i="3"/>
  <c r="E24" i="3"/>
  <c r="E2" i="3"/>
  <c r="G158" i="9"/>
  <c r="G157" i="9"/>
  <c r="G156" i="9"/>
  <c r="G155" i="9"/>
  <c r="G154" i="9"/>
  <c r="G153" i="9"/>
  <c r="G152" i="9"/>
  <c r="G151" i="9"/>
  <c r="G150" i="9"/>
  <c r="G149" i="9"/>
  <c r="G148" i="9"/>
  <c r="G147" i="9"/>
  <c r="G146" i="9"/>
  <c r="G145" i="9"/>
  <c r="G144" i="9"/>
  <c r="G143" i="9"/>
  <c r="G142" i="9"/>
  <c r="G141" i="9"/>
  <c r="G140" i="9"/>
  <c r="G139" i="9"/>
  <c r="G138" i="9"/>
  <c r="G137" i="9"/>
  <c r="G136" i="9"/>
  <c r="G135" i="9"/>
  <c r="G134" i="9"/>
  <c r="G133" i="9"/>
  <c r="G132" i="9"/>
  <c r="G131" i="9"/>
  <c r="G130" i="9"/>
  <c r="G129" i="9"/>
  <c r="G128" i="9"/>
  <c r="G127" i="9"/>
  <c r="G126" i="9"/>
  <c r="G125" i="9"/>
  <c r="G124" i="9"/>
  <c r="G123" i="9"/>
  <c r="G122" i="9"/>
  <c r="G121" i="9"/>
  <c r="G120" i="9"/>
  <c r="G119" i="9"/>
  <c r="G118" i="9"/>
  <c r="G117" i="9"/>
  <c r="G116" i="9"/>
  <c r="G115" i="9"/>
  <c r="G114" i="9"/>
  <c r="G113" i="9"/>
  <c r="G112" i="9"/>
  <c r="G111" i="9"/>
  <c r="G110" i="9"/>
  <c r="G109" i="9"/>
  <c r="G108" i="9"/>
  <c r="G107" i="9"/>
  <c r="G106" i="9"/>
  <c r="G105" i="9"/>
  <c r="G104" i="9"/>
  <c r="G103" i="9"/>
  <c r="G102" i="9"/>
  <c r="G101" i="9"/>
  <c r="G100" i="9"/>
  <c r="G99" i="9"/>
  <c r="G98" i="9"/>
  <c r="G97" i="9"/>
  <c r="G96" i="9"/>
  <c r="G95" i="9"/>
  <c r="G94" i="9"/>
  <c r="G93" i="9"/>
  <c r="G92" i="9"/>
  <c r="G91" i="9"/>
  <c r="G90" i="9"/>
  <c r="G89" i="9"/>
  <c r="G88" i="9"/>
  <c r="G87" i="9"/>
  <c r="G86" i="9"/>
  <c r="G85" i="9"/>
  <c r="G84" i="9"/>
  <c r="G83" i="9"/>
  <c r="G82" i="9"/>
  <c r="G81" i="9"/>
  <c r="G80" i="9"/>
  <c r="G79" i="9"/>
  <c r="G78" i="9"/>
  <c r="G77" i="9"/>
  <c r="G76" i="9"/>
  <c r="G75" i="9"/>
  <c r="G74" i="9"/>
  <c r="G73" i="9"/>
  <c r="G72" i="9"/>
  <c r="G71" i="9"/>
  <c r="G70" i="9"/>
  <c r="G69" i="9"/>
  <c r="G68" i="9"/>
  <c r="G67" i="9"/>
  <c r="G66" i="9"/>
  <c r="G65" i="9"/>
  <c r="G64" i="9"/>
  <c r="G63" i="9"/>
  <c r="G62" i="9"/>
  <c r="G61" i="9"/>
  <c r="G60" i="9"/>
  <c r="G59" i="9"/>
  <c r="G58" i="9"/>
  <c r="G57" i="9"/>
  <c r="G56" i="9"/>
  <c r="G55" i="9"/>
  <c r="G54" i="9"/>
  <c r="G53" i="9"/>
  <c r="G52" i="9"/>
  <c r="G51" i="9"/>
  <c r="G50" i="9"/>
  <c r="G49" i="9"/>
  <c r="G48" i="9"/>
  <c r="G47" i="9"/>
  <c r="G46" i="9"/>
  <c r="G45" i="9"/>
  <c r="G44" i="9"/>
  <c r="G43" i="9"/>
  <c r="G42" i="9"/>
  <c r="G41" i="9"/>
  <c r="G40" i="9"/>
  <c r="G39" i="9"/>
  <c r="G38" i="9"/>
  <c r="G37" i="9"/>
  <c r="G36" i="9"/>
  <c r="G35" i="9"/>
  <c r="G34" i="9"/>
  <c r="G33" i="9"/>
  <c r="G32" i="9"/>
  <c r="G31" i="9"/>
  <c r="G30" i="9"/>
  <c r="G29" i="9"/>
  <c r="G28" i="9"/>
  <c r="G27" i="9"/>
  <c r="G26" i="9"/>
  <c r="G25" i="9"/>
  <c r="G24" i="9"/>
  <c r="G23" i="9"/>
  <c r="G22" i="9"/>
  <c r="G21" i="9"/>
  <c r="G20" i="9"/>
  <c r="G19" i="9"/>
  <c r="G18" i="9"/>
  <c r="G17" i="9"/>
  <c r="G16" i="9"/>
  <c r="G15" i="9"/>
  <c r="G14" i="9"/>
  <c r="G13" i="9"/>
  <c r="G12" i="9"/>
  <c r="G11" i="9"/>
  <c r="G10" i="9"/>
  <c r="G9" i="9"/>
  <c r="G8" i="9"/>
  <c r="G7" i="9"/>
  <c r="G6" i="9"/>
  <c r="G5" i="9"/>
  <c r="G4" i="9"/>
  <c r="G3" i="9"/>
  <c r="G2" i="9"/>
  <c r="R3" i="1"/>
  <c r="R4" i="1"/>
  <c r="R5" i="1"/>
  <c r="R7" i="1"/>
  <c r="R8" i="1"/>
  <c r="R10" i="1"/>
  <c r="R12" i="1"/>
  <c r="R13" i="1"/>
  <c r="R2" i="1"/>
  <c r="G8" i="7"/>
  <c r="E8" i="7"/>
  <c r="C8" i="7"/>
  <c r="F7" i="7"/>
  <c r="G7" i="7" s="1"/>
  <c r="I6" i="7"/>
  <c r="G6" i="7"/>
  <c r="F6" i="7"/>
  <c r="I5" i="7"/>
  <c r="F5" i="7"/>
  <c r="G5" i="7" s="1"/>
  <c r="I4" i="7"/>
  <c r="G4" i="7"/>
  <c r="F4" i="7"/>
  <c r="I3" i="7"/>
  <c r="G3" i="7"/>
  <c r="F3" i="7"/>
  <c r="Q3" i="1" l="1"/>
  <c r="Q4" i="1"/>
  <c r="Q5" i="1"/>
  <c r="Q6" i="1"/>
  <c r="Q7" i="1"/>
  <c r="Q8" i="1"/>
  <c r="Q9" i="1"/>
  <c r="Q10" i="1"/>
  <c r="Q11" i="1"/>
  <c r="Q12" i="1"/>
  <c r="Q13" i="1"/>
  <c r="Q14" i="1"/>
  <c r="Q2" i="1"/>
  <c r="P3" i="1"/>
  <c r="P6" i="1"/>
  <c r="P7" i="1"/>
  <c r="P8" i="1"/>
  <c r="P9" i="1"/>
  <c r="P10" i="1"/>
  <c r="P12" i="1"/>
  <c r="P14" i="1"/>
  <c r="P2" i="1"/>
  <c r="N2" i="1"/>
  <c r="M7" i="1"/>
  <c r="M8" i="1" s="1"/>
  <c r="M9" i="1" s="1"/>
  <c r="R9" i="1" s="1"/>
  <c r="M10" i="1"/>
  <c r="M12" i="1"/>
  <c r="M2" i="1"/>
  <c r="K3" i="1"/>
  <c r="K4" i="1"/>
  <c r="K5" i="1"/>
  <c r="K6" i="1"/>
  <c r="K7" i="1"/>
  <c r="K8" i="1"/>
  <c r="K9" i="1"/>
  <c r="K10" i="1"/>
  <c r="K11" i="1"/>
  <c r="K12" i="1"/>
  <c r="K13" i="1"/>
  <c r="K14" i="1"/>
  <c r="K2" i="1"/>
  <c r="L3" i="1"/>
  <c r="L4" i="1"/>
  <c r="L5" i="1"/>
  <c r="L6" i="1"/>
  <c r="L7" i="1"/>
  <c r="L8" i="1"/>
  <c r="L9" i="1"/>
  <c r="L10" i="1"/>
  <c r="L11" i="1"/>
  <c r="L12" i="1"/>
  <c r="L13" i="1"/>
  <c r="L14" i="1"/>
  <c r="L2" i="1"/>
  <c r="O2" i="1" l="1"/>
  <c r="N9" i="1"/>
  <c r="N8" i="1"/>
  <c r="O8" i="1" s="1"/>
  <c r="N10" i="1"/>
  <c r="M11" i="1"/>
  <c r="R11" i="1" s="1"/>
  <c r="O9" i="1"/>
  <c r="M3" i="1"/>
  <c r="N3" i="1"/>
  <c r="M13" i="1"/>
  <c r="N12" i="1" l="1"/>
  <c r="N11" i="1"/>
  <c r="O11" i="1" s="1"/>
  <c r="P11" i="1"/>
  <c r="O10" i="1"/>
  <c r="N4" i="1"/>
  <c r="P4" i="1"/>
  <c r="N13" i="1"/>
  <c r="O13" i="1" s="1"/>
  <c r="M14" i="1"/>
  <c r="R14" i="1" s="1"/>
  <c r="N14" i="1"/>
  <c r="M4" i="1"/>
  <c r="O3" i="1"/>
  <c r="P13" i="1" l="1"/>
  <c r="O12" i="1"/>
  <c r="M5" i="1"/>
  <c r="O4" i="1"/>
  <c r="N5" i="1"/>
  <c r="P5" i="1"/>
  <c r="O14" i="1"/>
  <c r="M6" i="1" l="1"/>
  <c r="R6" i="1" s="1"/>
  <c r="O5" i="1"/>
  <c r="N6" i="1"/>
  <c r="O6" i="1" l="1"/>
  <c r="N7" i="1"/>
  <c r="O7"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POOVENDRAN ALAGAR SUNDARAM</author>
  </authors>
  <commentList>
    <comment ref="I1" authorId="0" shapeId="0" xr:uid="{00000000-0006-0000-0400-000001000000}">
      <text>
        <r>
          <rPr>
            <b/>
            <sz val="9"/>
            <color indexed="81"/>
            <rFont val="Tahoma"/>
            <family val="2"/>
          </rPr>
          <t>POOVENDRAN ALAGAR SUNDARAM:</t>
        </r>
        <r>
          <rPr>
            <sz val="9"/>
            <color indexed="81"/>
            <rFont val="Tahoma"/>
            <family val="2"/>
          </rPr>
          <t xml:space="preserve">
DayDifference</t>
        </r>
      </text>
    </comment>
  </commentList>
</comments>
</file>

<file path=xl/sharedStrings.xml><?xml version="1.0" encoding="utf-8"?>
<sst xmlns="http://schemas.openxmlformats.org/spreadsheetml/2006/main" count="7212" uniqueCount="4173">
  <si>
    <t>trade_date</t>
  </si>
  <si>
    <t>tradingsymbol</t>
  </si>
  <si>
    <t>exchange</t>
  </si>
  <si>
    <t>segment</t>
  </si>
  <si>
    <t>quantity</t>
  </si>
  <si>
    <t>price</t>
  </si>
  <si>
    <t>order_id</t>
  </si>
  <si>
    <t>trade_id</t>
  </si>
  <si>
    <t>order_execution_time</t>
  </si>
  <si>
    <t>TradeValue</t>
  </si>
  <si>
    <t>AvgPrice</t>
  </si>
  <si>
    <t>AvgQty</t>
  </si>
  <si>
    <t>PL</t>
  </si>
  <si>
    <t>MM</t>
  </si>
  <si>
    <t>Symbol</t>
  </si>
  <si>
    <t>InvAmount</t>
  </si>
  <si>
    <t>ADANIGAS</t>
  </si>
  <si>
    <t>NSE</t>
  </si>
  <si>
    <t>EQ</t>
  </si>
  <si>
    <t>buy</t>
  </si>
  <si>
    <t>2020-04-22T11:10:16</t>
  </si>
  <si>
    <t>2020-05-11T10:34:42</t>
  </si>
  <si>
    <t>sell</t>
  </si>
  <si>
    <t>2020-06-01T11:50:55</t>
  </si>
  <si>
    <t>2020-06-08T12:48:41</t>
  </si>
  <si>
    <t>ASHOKLEY</t>
  </si>
  <si>
    <t>2020-04-13T11:01:58</t>
  </si>
  <si>
    <t>2020-04-16T09:40:15</t>
  </si>
  <si>
    <t>BAJFINANCE</t>
  </si>
  <si>
    <t>2020-05-05T09:26:18</t>
  </si>
  <si>
    <t>2020-06-05T14:20:09</t>
  </si>
  <si>
    <t>BATAINDIA</t>
  </si>
  <si>
    <t>2020-04-17T12:02:03</t>
  </si>
  <si>
    <t>2020-06-04T09:37:48</t>
  </si>
  <si>
    <t>2020-06-08T12:46:17</t>
  </si>
  <si>
    <t>BERGEPAINT</t>
  </si>
  <si>
    <t>DELTACORP</t>
  </si>
  <si>
    <t>DIVISLAB</t>
  </si>
  <si>
    <t>EICHERMOT</t>
  </si>
  <si>
    <t>ENGINERSIN</t>
  </si>
  <si>
    <t>GREAVESCOT</t>
  </si>
  <si>
    <t>HDFCBANK</t>
  </si>
  <si>
    <t>HEROMOTOCO</t>
  </si>
  <si>
    <t>HINDUNILVR</t>
  </si>
  <si>
    <t>HINDZINC</t>
  </si>
  <si>
    <t>ICICIBANK</t>
  </si>
  <si>
    <t>ICICINIFTY</t>
  </si>
  <si>
    <t>INFY</t>
  </si>
  <si>
    <t>ITC</t>
  </si>
  <si>
    <t>JINDALSTEL</t>
  </si>
  <si>
    <t>MARICO</t>
  </si>
  <si>
    <t>MARUTI</t>
  </si>
  <si>
    <t>MOTHERSUMI</t>
  </si>
  <si>
    <t>NIFTYBEES</t>
  </si>
  <si>
    <t>OBEROIRLTY</t>
  </si>
  <si>
    <t>PIDILITIND</t>
  </si>
  <si>
    <t>SBIN</t>
  </si>
  <si>
    <t>SUNPHARMA</t>
  </si>
  <si>
    <t>TATASTEEL</t>
  </si>
  <si>
    <t>VOLTAS</t>
  </si>
  <si>
    <t>type</t>
  </si>
  <si>
    <t>Holdings</t>
  </si>
  <si>
    <t>Sector</t>
  </si>
  <si>
    <t>Date</t>
  </si>
  <si>
    <t>OB</t>
  </si>
  <si>
    <t>Deposit</t>
  </si>
  <si>
    <t>With Draw</t>
  </si>
  <si>
    <t>Realized PL</t>
  </si>
  <si>
    <t>CB</t>
  </si>
  <si>
    <t>PL%</t>
  </si>
  <si>
    <t>UnRealized PL</t>
  </si>
  <si>
    <t>UR PL%</t>
  </si>
  <si>
    <t>Amnt/ stk</t>
  </si>
  <si>
    <t>Monthly Remarks</t>
  </si>
  <si>
    <t>SYMBOL</t>
  </si>
  <si>
    <t>SERIES</t>
  </si>
  <si>
    <t>OPEN</t>
  </si>
  <si>
    <t>HIGH</t>
  </si>
  <si>
    <t>LOW</t>
  </si>
  <si>
    <t>CLOSE</t>
  </si>
  <si>
    <t>LAST</t>
  </si>
  <si>
    <t>PREVCLOSE</t>
  </si>
  <si>
    <t>TOTTRDQTY</t>
  </si>
  <si>
    <t>TOTTRDVAL</t>
  </si>
  <si>
    <t>TIMESTAMP</t>
  </si>
  <si>
    <t>TOTALTRADES</t>
  </si>
  <si>
    <t>ISIN</t>
  </si>
  <si>
    <t>20MICRONS</t>
  </si>
  <si>
    <t>INE144J01027</t>
  </si>
  <si>
    <t>21STCENMGM</t>
  </si>
  <si>
    <t>INE253B01015</t>
  </si>
  <si>
    <t>3IINFOTECH</t>
  </si>
  <si>
    <t>INE748C01020</t>
  </si>
  <si>
    <t>3MINDIA</t>
  </si>
  <si>
    <t>INE470A01017</t>
  </si>
  <si>
    <t>5PAISA</t>
  </si>
  <si>
    <t>INE618L01018</t>
  </si>
  <si>
    <t>63MOONS</t>
  </si>
  <si>
    <t>INE111B01023</t>
  </si>
  <si>
    <t>A2ZINFRA</t>
  </si>
  <si>
    <t>INE619I01012</t>
  </si>
  <si>
    <t>AARTIDRUGS</t>
  </si>
  <si>
    <t>INE767A01016</t>
  </si>
  <si>
    <t>AARTIIND</t>
  </si>
  <si>
    <t>INE769A01020</t>
  </si>
  <si>
    <t>AARVEEDEN</t>
  </si>
  <si>
    <t>INE273D01019</t>
  </si>
  <si>
    <t>AAVAS</t>
  </si>
  <si>
    <t>INE216P01012</t>
  </si>
  <si>
    <t>ABAN</t>
  </si>
  <si>
    <t>INE421A01028</t>
  </si>
  <si>
    <t>ABB</t>
  </si>
  <si>
    <t>INE117A01022</t>
  </si>
  <si>
    <t>ABBOTINDIA</t>
  </si>
  <si>
    <t>INE358A01014</t>
  </si>
  <si>
    <t>ABCAPITAL</t>
  </si>
  <si>
    <t>INE674K01013</t>
  </si>
  <si>
    <t>ABFRL</t>
  </si>
  <si>
    <t>INE647O01011</t>
  </si>
  <si>
    <t>ABSLBANETF</t>
  </si>
  <si>
    <t>INF209KB1O58</t>
  </si>
  <si>
    <t>ABSLNN50ET</t>
  </si>
  <si>
    <t>INF209KB1B87</t>
  </si>
  <si>
    <t>ACC</t>
  </si>
  <si>
    <t>INE012A01025</t>
  </si>
  <si>
    <t>ACCELYA</t>
  </si>
  <si>
    <t>INE793A01012</t>
  </si>
  <si>
    <t>ACE</t>
  </si>
  <si>
    <t>INE731H01025</t>
  </si>
  <si>
    <t>ADANIENT</t>
  </si>
  <si>
    <t>INE423A01024</t>
  </si>
  <si>
    <t>INE399L01023</t>
  </si>
  <si>
    <t>ADANIGREEN</t>
  </si>
  <si>
    <t>INE364U01010</t>
  </si>
  <si>
    <t>ADANIPORTS</t>
  </si>
  <si>
    <t>INE742F01042</t>
  </si>
  <si>
    <t>ADANIPOWER</t>
  </si>
  <si>
    <t>INE814H01011</t>
  </si>
  <si>
    <t>ADANITRANS</t>
  </si>
  <si>
    <t>INE931S01010</t>
  </si>
  <si>
    <t>ADFFOODS</t>
  </si>
  <si>
    <t>INE982B01019</t>
  </si>
  <si>
    <t>ADHUNIKIND</t>
  </si>
  <si>
    <t>INE452L01012</t>
  </si>
  <si>
    <t>ADORWELD</t>
  </si>
  <si>
    <t>INE045A01017</t>
  </si>
  <si>
    <t>ADROITINFO</t>
  </si>
  <si>
    <t>INE737B01033</t>
  </si>
  <si>
    <t>ADSL</t>
  </si>
  <si>
    <t>INE102I01027</t>
  </si>
  <si>
    <t>ADVANIHOTR</t>
  </si>
  <si>
    <t>INE199C01026</t>
  </si>
  <si>
    <t>ADVENZYMES</t>
  </si>
  <si>
    <t>INE837H01020</t>
  </si>
  <si>
    <t>AEGISCHEM</t>
  </si>
  <si>
    <t>INE208C01025</t>
  </si>
  <si>
    <t>AFFLE</t>
  </si>
  <si>
    <t>INE00WC01019</t>
  </si>
  <si>
    <t>AGARIND</t>
  </si>
  <si>
    <t>INE204E01012</t>
  </si>
  <si>
    <t>AGCNET</t>
  </si>
  <si>
    <t>INE676A01019</t>
  </si>
  <si>
    <t>AGROPHOS</t>
  </si>
  <si>
    <t>INE740V01019</t>
  </si>
  <si>
    <t>AHLEAST</t>
  </si>
  <si>
    <t>INE926K01017</t>
  </si>
  <si>
    <t>AHLUCONT</t>
  </si>
  <si>
    <t>INE758C01029</t>
  </si>
  <si>
    <t>AHLWEST</t>
  </si>
  <si>
    <t>INE915K01010</t>
  </si>
  <si>
    <t>AIAENG</t>
  </si>
  <si>
    <t>INE212H01026</t>
  </si>
  <si>
    <t>AIONJSW</t>
  </si>
  <si>
    <t>INE743C01021</t>
  </si>
  <si>
    <t>AIRAN</t>
  </si>
  <si>
    <t>INE645W01026</t>
  </si>
  <si>
    <t>AJANTPHARM</t>
  </si>
  <si>
    <t>INE031B01049</t>
  </si>
  <si>
    <t>AJMERA</t>
  </si>
  <si>
    <t>INE298G01027</t>
  </si>
  <si>
    <t>AKSHARCHEM</t>
  </si>
  <si>
    <t>INE542B01011</t>
  </si>
  <si>
    <t>AKSHOPTFBR</t>
  </si>
  <si>
    <t>INE523B01011</t>
  </si>
  <si>
    <t>AKZOINDIA</t>
  </si>
  <si>
    <t>INE133A01011</t>
  </si>
  <si>
    <t>ALANKIT</t>
  </si>
  <si>
    <t>INE914E01040</t>
  </si>
  <si>
    <t>ALBERTDAVD</t>
  </si>
  <si>
    <t>INE155C01010</t>
  </si>
  <si>
    <t>ALEMBICLTD</t>
  </si>
  <si>
    <t>INE426A01027</t>
  </si>
  <si>
    <t>ALICON</t>
  </si>
  <si>
    <t>INE062D01024</t>
  </si>
  <si>
    <t>ALKALI</t>
  </si>
  <si>
    <t>INE773I01017</t>
  </si>
  <si>
    <t>ALKEM</t>
  </si>
  <si>
    <t>INE540L01014</t>
  </si>
  <si>
    <t>ALKYLAMINE</t>
  </si>
  <si>
    <t>INE150B01021</t>
  </si>
  <si>
    <t>ALLCARGO</t>
  </si>
  <si>
    <t>INE418H01029</t>
  </si>
  <si>
    <t>ALLSEC</t>
  </si>
  <si>
    <t>INE835G01018</t>
  </si>
  <si>
    <t>ALMONDZ</t>
  </si>
  <si>
    <t>INE326B01027</t>
  </si>
  <si>
    <t>ALOKINDS</t>
  </si>
  <si>
    <t>INE270A01029</t>
  </si>
  <si>
    <t>ALPA</t>
  </si>
  <si>
    <t>INE385I01010</t>
  </si>
  <si>
    <t>ALPHAGEO</t>
  </si>
  <si>
    <t>INE137C01018</t>
  </si>
  <si>
    <t>ALPSINDUS</t>
  </si>
  <si>
    <t>INE093B01015</t>
  </si>
  <si>
    <t>AMARAJABAT</t>
  </si>
  <si>
    <t>INE885A01032</t>
  </si>
  <si>
    <t>AMBER</t>
  </si>
  <si>
    <t>INE371P01015</t>
  </si>
  <si>
    <t>AMBIKCO</t>
  </si>
  <si>
    <t>INE540G01014</t>
  </si>
  <si>
    <t>AMBUJACEM</t>
  </si>
  <si>
    <t>INE079A01024</t>
  </si>
  <si>
    <t>AMDIND</t>
  </si>
  <si>
    <t>INE005I01014</t>
  </si>
  <si>
    <t>AMJLAND</t>
  </si>
  <si>
    <t>INE606A01024</t>
  </si>
  <si>
    <t>AMRUTANJAN</t>
  </si>
  <si>
    <t>INE098F01031</t>
  </si>
  <si>
    <t>ANANTRAJ</t>
  </si>
  <si>
    <t>INE242C01024</t>
  </si>
  <si>
    <t>ANDHRACEMT</t>
  </si>
  <si>
    <t>INE666E01012</t>
  </si>
  <si>
    <t>ANDHRAPAP</t>
  </si>
  <si>
    <t>INE435A01028</t>
  </si>
  <si>
    <t>ANDHRSUGAR</t>
  </si>
  <si>
    <t>INE715B01013</t>
  </si>
  <si>
    <t>ANIKINDS</t>
  </si>
  <si>
    <t>INE087B01017</t>
  </si>
  <si>
    <t>ANKITMETAL</t>
  </si>
  <si>
    <t>INE106I01010</t>
  </si>
  <si>
    <t>ANSALHSG</t>
  </si>
  <si>
    <t>INE880B01015</t>
  </si>
  <si>
    <t>ANUP</t>
  </si>
  <si>
    <t>INE294Z01018</t>
  </si>
  <si>
    <t>APARINDS</t>
  </si>
  <si>
    <t>INE372A01015</t>
  </si>
  <si>
    <t>APCL</t>
  </si>
  <si>
    <t>INE071F01012</t>
  </si>
  <si>
    <t>APCOTEXIND</t>
  </si>
  <si>
    <t>INE116A01032</t>
  </si>
  <si>
    <t>APEX</t>
  </si>
  <si>
    <t>INE346W01013</t>
  </si>
  <si>
    <t>APLAPOLLO</t>
  </si>
  <si>
    <t>INE702C01019</t>
  </si>
  <si>
    <t>APLLTD</t>
  </si>
  <si>
    <t>INE901L01018</t>
  </si>
  <si>
    <t>APOLLO</t>
  </si>
  <si>
    <t>INE713T01010</t>
  </si>
  <si>
    <t>APOLLOHOSP</t>
  </si>
  <si>
    <t>INE437A01024</t>
  </si>
  <si>
    <t>APOLLOPIPE</t>
  </si>
  <si>
    <t>INE126J01016</t>
  </si>
  <si>
    <t>APOLLOTYRE</t>
  </si>
  <si>
    <t>INE438A01022</t>
  </si>
  <si>
    <t>APOLSINHOT</t>
  </si>
  <si>
    <t>INE451F01024</t>
  </si>
  <si>
    <t>APTECHT</t>
  </si>
  <si>
    <t>INE266F01018</t>
  </si>
  <si>
    <t>ARCHIDPLY</t>
  </si>
  <si>
    <t>INE877I01016</t>
  </si>
  <si>
    <t>ARCHIES</t>
  </si>
  <si>
    <t>INE731A01020</t>
  </si>
  <si>
    <t>ARENTERP</t>
  </si>
  <si>
    <t>INE610C01014</t>
  </si>
  <si>
    <t>ARIES</t>
  </si>
  <si>
    <t>INE298I01015</t>
  </si>
  <si>
    <t>ARIHANT</t>
  </si>
  <si>
    <t>INE413D01011</t>
  </si>
  <si>
    <t>ARIHANTSUP</t>
  </si>
  <si>
    <t>INE643K01018</t>
  </si>
  <si>
    <t>ARMANFIN</t>
  </si>
  <si>
    <t>INE109C01017</t>
  </si>
  <si>
    <t>AROGRANITE</t>
  </si>
  <si>
    <t>INE210C01013</t>
  </si>
  <si>
    <t>ARROWGREEN</t>
  </si>
  <si>
    <t>INE570D01018</t>
  </si>
  <si>
    <t>ARSSINFRA</t>
  </si>
  <si>
    <t>INE267I01010</t>
  </si>
  <si>
    <t>ARTEMISMED</t>
  </si>
  <si>
    <t>INE025R01013</t>
  </si>
  <si>
    <t>ARVIND</t>
  </si>
  <si>
    <t>INE034A01011</t>
  </si>
  <si>
    <t>ARVINDFASN</t>
  </si>
  <si>
    <t>INE955V01021</t>
  </si>
  <si>
    <t>ARVSMART</t>
  </si>
  <si>
    <t>INE034S01021</t>
  </si>
  <si>
    <t>ASAHIINDIA</t>
  </si>
  <si>
    <t>INE439A01020</t>
  </si>
  <si>
    <t>ASAHISONG</t>
  </si>
  <si>
    <t>INE228I01012</t>
  </si>
  <si>
    <t>ASAL</t>
  </si>
  <si>
    <t>INE900C01027</t>
  </si>
  <si>
    <t>ASALCBR</t>
  </si>
  <si>
    <t>INE073G01016</t>
  </si>
  <si>
    <t>ASHAPURMIN</t>
  </si>
  <si>
    <t>INE348A01023</t>
  </si>
  <si>
    <t>ASHIANA</t>
  </si>
  <si>
    <t>INE365D01021</t>
  </si>
  <si>
    <t>ASHIMASYN</t>
  </si>
  <si>
    <t>INE440A01010</t>
  </si>
  <si>
    <t>ASHOKA</t>
  </si>
  <si>
    <t>INE442H01029</t>
  </si>
  <si>
    <t>INE208A01029</t>
  </si>
  <si>
    <t>ASIANHOTNR</t>
  </si>
  <si>
    <t>INE363A01022</t>
  </si>
  <si>
    <t>ASIANPAINT</t>
  </si>
  <si>
    <t>INE021A01026</t>
  </si>
  <si>
    <t>ASIANTILES</t>
  </si>
  <si>
    <t>INE022I01019</t>
  </si>
  <si>
    <t>ASPINWALL</t>
  </si>
  <si>
    <t>INE991I01015</t>
  </si>
  <si>
    <t>ASTEC</t>
  </si>
  <si>
    <t>INE563J01010</t>
  </si>
  <si>
    <t>ASTERDM</t>
  </si>
  <si>
    <t>INE914M01019</t>
  </si>
  <si>
    <t>ASTRAL</t>
  </si>
  <si>
    <t>INE006I01046</t>
  </si>
  <si>
    <t>ASTRAMICRO</t>
  </si>
  <si>
    <t>INE386C01029</t>
  </si>
  <si>
    <t>ASTRAZEN</t>
  </si>
  <si>
    <t>INE203A01020</t>
  </si>
  <si>
    <t>ASTRON</t>
  </si>
  <si>
    <t>INE646X01014</t>
  </si>
  <si>
    <t>ATFL</t>
  </si>
  <si>
    <t>INE209A01019</t>
  </si>
  <si>
    <t>ATLANTA</t>
  </si>
  <si>
    <t>INE285H01022</t>
  </si>
  <si>
    <t>ATUL</t>
  </si>
  <si>
    <t>INE100A01010</t>
  </si>
  <si>
    <t>ATULAUTO</t>
  </si>
  <si>
    <t>INE951D01028</t>
  </si>
  <si>
    <t>AUBANK</t>
  </si>
  <si>
    <t>INE949L01017</t>
  </si>
  <si>
    <t>AURIONPRO</t>
  </si>
  <si>
    <t>INE132H01018</t>
  </si>
  <si>
    <t>AUROPHARMA</t>
  </si>
  <si>
    <t>INE406A01037</t>
  </si>
  <si>
    <t>AUSOMENT</t>
  </si>
  <si>
    <t>INE218C01016</t>
  </si>
  <si>
    <t>AUTOAXLES</t>
  </si>
  <si>
    <t>INE449A01011</t>
  </si>
  <si>
    <t>AUTOLITIND</t>
  </si>
  <si>
    <t>INE448A01013</t>
  </si>
  <si>
    <t>AVADHSUGAR</t>
  </si>
  <si>
    <t>INE349W01017</t>
  </si>
  <si>
    <t>AVANTIFEED</t>
  </si>
  <si>
    <t>INE871C01038</t>
  </si>
  <si>
    <t>AVTNPL</t>
  </si>
  <si>
    <t>INE488D01021</t>
  </si>
  <si>
    <t>AXISBANK</t>
  </si>
  <si>
    <t>INE238A01034</t>
  </si>
  <si>
    <t>AXISCADES</t>
  </si>
  <si>
    <t>INE555B01013</t>
  </si>
  <si>
    <t>AXISGOLD</t>
  </si>
  <si>
    <t>INF846K01347</t>
  </si>
  <si>
    <t>AXISNIFTY</t>
  </si>
  <si>
    <t>INF846K01ZL0</t>
  </si>
  <si>
    <t>AYMSYNTEX</t>
  </si>
  <si>
    <t>INE193B01039</t>
  </si>
  <si>
    <t>BAGFILMS</t>
  </si>
  <si>
    <t>INE116D01028</t>
  </si>
  <si>
    <t>BAJAJ-AUTO</t>
  </si>
  <si>
    <t>INE917I01010</t>
  </si>
  <si>
    <t>BAJAJCON</t>
  </si>
  <si>
    <t>INE933K01021</t>
  </si>
  <si>
    <t>BAJAJELEC</t>
  </si>
  <si>
    <t>INE193E01025</t>
  </si>
  <si>
    <t>BAJAJFINSV</t>
  </si>
  <si>
    <t>INE918I01018</t>
  </si>
  <si>
    <t>BAJAJHIND</t>
  </si>
  <si>
    <t>INE306A01021</t>
  </si>
  <si>
    <t>BAJAJHLDNG</t>
  </si>
  <si>
    <t>INE118A01012</t>
  </si>
  <si>
    <t>INE296A01024</t>
  </si>
  <si>
    <t>BALAJITELE</t>
  </si>
  <si>
    <t>INE794B01026</t>
  </si>
  <si>
    <t>BALAMINES</t>
  </si>
  <si>
    <t>INE050E01027</t>
  </si>
  <si>
    <t>BALAXI</t>
  </si>
  <si>
    <t>INE618N01014</t>
  </si>
  <si>
    <t>BALKRISHNA</t>
  </si>
  <si>
    <t>INE875R01011</t>
  </si>
  <si>
    <t>BALKRISIND</t>
  </si>
  <si>
    <t>INE787D01026</t>
  </si>
  <si>
    <t>BALLARPUR</t>
  </si>
  <si>
    <t>INE294A01037</t>
  </si>
  <si>
    <t>BALMLAWRIE</t>
  </si>
  <si>
    <t>INE164A01016</t>
  </si>
  <si>
    <t>BALPHARMA</t>
  </si>
  <si>
    <t>INE083D01012</t>
  </si>
  <si>
    <t>BALRAMCHIN</t>
  </si>
  <si>
    <t>INE119A01028</t>
  </si>
  <si>
    <t>BANARBEADS</t>
  </si>
  <si>
    <t>INE655B01011</t>
  </si>
  <si>
    <t>BANARISUG</t>
  </si>
  <si>
    <t>INE459A01010</t>
  </si>
  <si>
    <t>BANCOINDIA</t>
  </si>
  <si>
    <t>INE213C01025</t>
  </si>
  <si>
    <t>BANDHANBNK</t>
  </si>
  <si>
    <t>INE545U01014</t>
  </si>
  <si>
    <t>BANG</t>
  </si>
  <si>
    <t>INE863I01016</t>
  </si>
  <si>
    <t>BANKBARODA</t>
  </si>
  <si>
    <t>INE028A01039</t>
  </si>
  <si>
    <t>BANKBEES</t>
  </si>
  <si>
    <t>INF204KB15I9</t>
  </si>
  <si>
    <t>BANKINDIA</t>
  </si>
  <si>
    <t>INE084A01016</t>
  </si>
  <si>
    <t>BANSWRAS</t>
  </si>
  <si>
    <t>INE629D01012</t>
  </si>
  <si>
    <t>BASF</t>
  </si>
  <si>
    <t>INE373A01013</t>
  </si>
  <si>
    <t>BASML</t>
  </si>
  <si>
    <t>INE186H01014</t>
  </si>
  <si>
    <t>INE176A01028</t>
  </si>
  <si>
    <t>BAYERCROP</t>
  </si>
  <si>
    <t>INE462A01022</t>
  </si>
  <si>
    <t>BBL</t>
  </si>
  <si>
    <t>INE464A01028</t>
  </si>
  <si>
    <t>BBTC</t>
  </si>
  <si>
    <t>INE050A01025</t>
  </si>
  <si>
    <t>BCP</t>
  </si>
  <si>
    <t>INE905P01028</t>
  </si>
  <si>
    <t>BDL</t>
  </si>
  <si>
    <t>INE171Z01018</t>
  </si>
  <si>
    <t>BEDMUTHA</t>
  </si>
  <si>
    <t>INE844K01012</t>
  </si>
  <si>
    <t>BEL</t>
  </si>
  <si>
    <t>INE263A01024</t>
  </si>
  <si>
    <t>BEML</t>
  </si>
  <si>
    <t>INE258A01016</t>
  </si>
  <si>
    <t>BEPL</t>
  </si>
  <si>
    <t>INE922A01025</t>
  </si>
  <si>
    <t>INE463A01038</t>
  </si>
  <si>
    <t>BFINVEST</t>
  </si>
  <si>
    <t>INE878K01010</t>
  </si>
  <si>
    <t>BFUTILITIE</t>
  </si>
  <si>
    <t>INE243D01012</t>
  </si>
  <si>
    <t>BGRENERGY</t>
  </si>
  <si>
    <t>INE661I01014</t>
  </si>
  <si>
    <t>BHAGERIA</t>
  </si>
  <si>
    <t>INE354C01027</t>
  </si>
  <si>
    <t>BHAGYANGR</t>
  </si>
  <si>
    <t>INE458B01036</t>
  </si>
  <si>
    <t>BHAGYAPROP</t>
  </si>
  <si>
    <t>INE363W01018</t>
  </si>
  <si>
    <t>BHANDARI</t>
  </si>
  <si>
    <t>INE474E01029</t>
  </si>
  <si>
    <t>BHARATFORG</t>
  </si>
  <si>
    <t>INE465A01025</t>
  </si>
  <si>
    <t>BHARATGEAR</t>
  </si>
  <si>
    <t>INE561C01019</t>
  </si>
  <si>
    <t>BHARATRAS</t>
  </si>
  <si>
    <t>INE838B01013</t>
  </si>
  <si>
    <t>BHARATWIRE</t>
  </si>
  <si>
    <t>INE316L01019</t>
  </si>
  <si>
    <t>BHARTIARTL</t>
  </si>
  <si>
    <t>INE397D01024</t>
  </si>
  <si>
    <t>BHEL</t>
  </si>
  <si>
    <t>INE257A01026</t>
  </si>
  <si>
    <t>BIGBLOC</t>
  </si>
  <si>
    <t>INE412U01017</t>
  </si>
  <si>
    <t>BIL</t>
  </si>
  <si>
    <t>INE828A01016</t>
  </si>
  <si>
    <t>BILENERGY</t>
  </si>
  <si>
    <t>INE607L01029</t>
  </si>
  <si>
    <t>BINDALAGRO</t>
  </si>
  <si>
    <t>INE143A01010</t>
  </si>
  <si>
    <t>BIOCON</t>
  </si>
  <si>
    <t>INE376G01013</t>
  </si>
  <si>
    <t>BIRLACABLE</t>
  </si>
  <si>
    <t>INE800A01015</t>
  </si>
  <si>
    <t>BIRLACORPN</t>
  </si>
  <si>
    <t>INE340A01012</t>
  </si>
  <si>
    <t>BIRLAMONEY</t>
  </si>
  <si>
    <t>INE865C01022</t>
  </si>
  <si>
    <t>BKMINDST</t>
  </si>
  <si>
    <t>INE831Q01016</t>
  </si>
  <si>
    <t>BLBLIMITED</t>
  </si>
  <si>
    <t>INE791A01024</t>
  </si>
  <si>
    <t>BLISSGVS</t>
  </si>
  <si>
    <t>INE416D01022</t>
  </si>
  <si>
    <t>BLKASHYAP</t>
  </si>
  <si>
    <t>INE350H01032</t>
  </si>
  <si>
    <t>BLS</t>
  </si>
  <si>
    <t>INE153T01027</t>
  </si>
  <si>
    <t>BLUECOAST</t>
  </si>
  <si>
    <t>INE472B01011</t>
  </si>
  <si>
    <t>BLUEDART</t>
  </si>
  <si>
    <t>INE233B01017</t>
  </si>
  <si>
    <t>BLUESTARCO</t>
  </si>
  <si>
    <t>INE472A01039</t>
  </si>
  <si>
    <t>BODALCHEM</t>
  </si>
  <si>
    <t>INE338D01028</t>
  </si>
  <si>
    <t>BOMDYEING</t>
  </si>
  <si>
    <t>INE032A01023</t>
  </si>
  <si>
    <t>BORORENEW</t>
  </si>
  <si>
    <t>INE666D01022</t>
  </si>
  <si>
    <t>BOSCHLTD</t>
  </si>
  <si>
    <t>INE323A01026</t>
  </si>
  <si>
    <t>BPCL</t>
  </si>
  <si>
    <t>INE029A01011</t>
  </si>
  <si>
    <t>BPL</t>
  </si>
  <si>
    <t>INE110A01019</t>
  </si>
  <si>
    <t>BRFL</t>
  </si>
  <si>
    <t>INE589G01011</t>
  </si>
  <si>
    <t>BRIGADE</t>
  </si>
  <si>
    <t>INE791I01019</t>
  </si>
  <si>
    <t>BRITANNIA</t>
  </si>
  <si>
    <t>INE216A01030</t>
  </si>
  <si>
    <t>BRNL</t>
  </si>
  <si>
    <t>INE727S01012</t>
  </si>
  <si>
    <t>BSE</t>
  </si>
  <si>
    <t>INE118H01025</t>
  </si>
  <si>
    <t>BSELINFRA</t>
  </si>
  <si>
    <t>INE395A01016</t>
  </si>
  <si>
    <t>BSL</t>
  </si>
  <si>
    <t>INE594B01012</t>
  </si>
  <si>
    <t>BSLGOLDETF</t>
  </si>
  <si>
    <t>INF209K01HT2</t>
  </si>
  <si>
    <t>BSLNIFTY</t>
  </si>
  <si>
    <t>INF209K01IR4</t>
  </si>
  <si>
    <t>BSOFT</t>
  </si>
  <si>
    <t>INE836A01035</t>
  </si>
  <si>
    <t>BURNPUR</t>
  </si>
  <si>
    <t>INE817H01014</t>
  </si>
  <si>
    <t>BUTTERFLY</t>
  </si>
  <si>
    <t>INE295F01017</t>
  </si>
  <si>
    <t>BYKE</t>
  </si>
  <si>
    <t>INE319B01014</t>
  </si>
  <si>
    <t>CADILAHC</t>
  </si>
  <si>
    <t>INE010B01027</t>
  </si>
  <si>
    <t>CALSOFT</t>
  </si>
  <si>
    <t>INE526B01014</t>
  </si>
  <si>
    <t>CAMLINFINE</t>
  </si>
  <si>
    <t>INE052I01032</t>
  </si>
  <si>
    <t>CANBK</t>
  </si>
  <si>
    <t>INE476A01014</t>
  </si>
  <si>
    <t>CANFINHOME</t>
  </si>
  <si>
    <t>INE477A01020</t>
  </si>
  <si>
    <t>CANTABIL</t>
  </si>
  <si>
    <t>INE068L01016</t>
  </si>
  <si>
    <t>CAPACITE</t>
  </si>
  <si>
    <t>INE264T01014</t>
  </si>
  <si>
    <t>CAPLIPOINT</t>
  </si>
  <si>
    <t>INE475E01026</t>
  </si>
  <si>
    <t>CAPTRUST</t>
  </si>
  <si>
    <t>INE707C01018</t>
  </si>
  <si>
    <t>CARBORUNIV</t>
  </si>
  <si>
    <t>INE120A01034</t>
  </si>
  <si>
    <t>CAREERP</t>
  </si>
  <si>
    <t>INE521J01018</t>
  </si>
  <si>
    <t>CARERATING</t>
  </si>
  <si>
    <t>INE752H01013</t>
  </si>
  <si>
    <t>CASTEXTECH</t>
  </si>
  <si>
    <t>INE068D01021</t>
  </si>
  <si>
    <t>CASTROLIND</t>
  </si>
  <si>
    <t>INE172A01027</t>
  </si>
  <si>
    <t>CCHHL</t>
  </si>
  <si>
    <t>INE652F01027</t>
  </si>
  <si>
    <t>CCL</t>
  </si>
  <si>
    <t>INE421D01022</t>
  </si>
  <si>
    <t>CDSL</t>
  </si>
  <si>
    <t>INE736A01011</t>
  </si>
  <si>
    <t>CEATLTD</t>
  </si>
  <si>
    <t>INE482A01020</t>
  </si>
  <si>
    <t>CEBBCO</t>
  </si>
  <si>
    <t>INE209L01016</t>
  </si>
  <si>
    <t>CELEBRITY</t>
  </si>
  <si>
    <t>INE185H01016</t>
  </si>
  <si>
    <t>CENTENKA</t>
  </si>
  <si>
    <t>INE485A01015</t>
  </si>
  <si>
    <t>CENTEXT</t>
  </si>
  <si>
    <t>INE281A01026</t>
  </si>
  <si>
    <t>CENTRALBK</t>
  </si>
  <si>
    <t>INE483A01010</t>
  </si>
  <si>
    <t>CENTRUM</t>
  </si>
  <si>
    <t>INE660C01027</t>
  </si>
  <si>
    <t>CENTUM</t>
  </si>
  <si>
    <t>INE320B01020</t>
  </si>
  <si>
    <t>CENTURYPLY</t>
  </si>
  <si>
    <t>INE348B01021</t>
  </si>
  <si>
    <t>CENTURYTEX</t>
  </si>
  <si>
    <t>INE055A01016</t>
  </si>
  <si>
    <t>CERA</t>
  </si>
  <si>
    <t>INE739E01017</t>
  </si>
  <si>
    <t>CEREBRAINT</t>
  </si>
  <si>
    <t>INE345B01019</t>
  </si>
  <si>
    <t>CESC</t>
  </si>
  <si>
    <t>INE486A01013</t>
  </si>
  <si>
    <t>CESCVENT</t>
  </si>
  <si>
    <t>INE425Y01011</t>
  </si>
  <si>
    <t>CGCL</t>
  </si>
  <si>
    <t>INE180C01026</t>
  </si>
  <si>
    <t>CGPOWER</t>
  </si>
  <si>
    <t>INE067A01029</t>
  </si>
  <si>
    <t>CHALET</t>
  </si>
  <si>
    <t>INE427F01016</t>
  </si>
  <si>
    <t>CHAMBLFERT</t>
  </si>
  <si>
    <t>INE085A01013</t>
  </si>
  <si>
    <t>CHEMBOND</t>
  </si>
  <si>
    <t>INE995D01025</t>
  </si>
  <si>
    <t>CHEMFAB</t>
  </si>
  <si>
    <t>INE783X01023</t>
  </si>
  <si>
    <t>CHENNPETRO</t>
  </si>
  <si>
    <t>INE178A01016</t>
  </si>
  <si>
    <t>CHOLAFIN</t>
  </si>
  <si>
    <t>INE121A01024</t>
  </si>
  <si>
    <t>CHOLAHLDNG</t>
  </si>
  <si>
    <t>INE149A01033</t>
  </si>
  <si>
    <t>CHROMATIC</t>
  </si>
  <si>
    <t>INE662C01015</t>
  </si>
  <si>
    <t>CIGNITITEC</t>
  </si>
  <si>
    <t>INE675C01017</t>
  </si>
  <si>
    <t>CIMMCO</t>
  </si>
  <si>
    <t>INE184C01028</t>
  </si>
  <si>
    <t>CINELINE</t>
  </si>
  <si>
    <t>INE704H01022</t>
  </si>
  <si>
    <t>CINEVISTA</t>
  </si>
  <si>
    <t>INE039B01026</t>
  </si>
  <si>
    <t>CIPLA</t>
  </si>
  <si>
    <t>INE059A01026</t>
  </si>
  <si>
    <t>CLEDUCATE</t>
  </si>
  <si>
    <t>INE201M01011</t>
  </si>
  <si>
    <t>CLNINDIA</t>
  </si>
  <si>
    <t>INE492A01029</t>
  </si>
  <si>
    <t>CMICABLES</t>
  </si>
  <si>
    <t>INE981B01011</t>
  </si>
  <si>
    <t>CNOVAPETRO</t>
  </si>
  <si>
    <t>INE672K01025</t>
  </si>
  <si>
    <t>COALINDIA</t>
  </si>
  <si>
    <t>INE522F01014</t>
  </si>
  <si>
    <t>COCHINSHIP</t>
  </si>
  <si>
    <t>INE704P01017</t>
  </si>
  <si>
    <t>COLPAL</t>
  </si>
  <si>
    <t>INE259A01022</t>
  </si>
  <si>
    <t>COMPINFO</t>
  </si>
  <si>
    <t>INE070C01037</t>
  </si>
  <si>
    <t>COMPUSOFT</t>
  </si>
  <si>
    <t>INE453B01029</t>
  </si>
  <si>
    <t>CONCOR</t>
  </si>
  <si>
    <t>INE111A01025</t>
  </si>
  <si>
    <t>CONFIPET</t>
  </si>
  <si>
    <t>INE552D01024</t>
  </si>
  <si>
    <t>CONSOFINVT</t>
  </si>
  <si>
    <t>INE025A01027</t>
  </si>
  <si>
    <t>CONTROLPR</t>
  </si>
  <si>
    <t>INE663B01015</t>
  </si>
  <si>
    <t>CORALFINAC</t>
  </si>
  <si>
    <t>INE558D01021</t>
  </si>
  <si>
    <t>CORDSCABLE</t>
  </si>
  <si>
    <t>INE792I01017</t>
  </si>
  <si>
    <t>COROMANDEL</t>
  </si>
  <si>
    <t>INE169A01031</t>
  </si>
  <si>
    <t>COSMOFILMS</t>
  </si>
  <si>
    <t>INE757A01017</t>
  </si>
  <si>
    <t>COUNCODOS</t>
  </si>
  <si>
    <t>INE695B01025</t>
  </si>
  <si>
    <t>CPSEETF</t>
  </si>
  <si>
    <t>INF457M01133</t>
  </si>
  <si>
    <t>CREATIVE</t>
  </si>
  <si>
    <t>INE985W01018</t>
  </si>
  <si>
    <t>CREDITACC</t>
  </si>
  <si>
    <t>INE741K01010</t>
  </si>
  <si>
    <t>CREST</t>
  </si>
  <si>
    <t>INE559D01011</t>
  </si>
  <si>
    <t>CRISIL</t>
  </si>
  <si>
    <t>INE007A01025</t>
  </si>
  <si>
    <t>CROMPTON</t>
  </si>
  <si>
    <t>INE299U01018</t>
  </si>
  <si>
    <t>CSBBANK</t>
  </si>
  <si>
    <t>INE679A01013</t>
  </si>
  <si>
    <t>CTE</t>
  </si>
  <si>
    <t>INE627H01017</t>
  </si>
  <si>
    <t>CUB</t>
  </si>
  <si>
    <t>INE491A01021</t>
  </si>
  <si>
    <t>CUBEXTUB</t>
  </si>
  <si>
    <t>INE144D01012</t>
  </si>
  <si>
    <t>CUMMINSIND</t>
  </si>
  <si>
    <t>INE298A01020</t>
  </si>
  <si>
    <t>CUPID</t>
  </si>
  <si>
    <t>INE509F01011</t>
  </si>
  <si>
    <t>CYBERTECH</t>
  </si>
  <si>
    <t>INE214A01019</t>
  </si>
  <si>
    <t>CYIENT</t>
  </si>
  <si>
    <t>INE136B01020</t>
  </si>
  <si>
    <t>DAAWAT</t>
  </si>
  <si>
    <t>INE818H01020</t>
  </si>
  <si>
    <t>DABUR</t>
  </si>
  <si>
    <t>INE016A01026</t>
  </si>
  <si>
    <t>DALBHARAT</t>
  </si>
  <si>
    <t>INE00R701025</t>
  </si>
  <si>
    <t>DALMIASUG</t>
  </si>
  <si>
    <t>INE495A01022</t>
  </si>
  <si>
    <t>DAMODARIND</t>
  </si>
  <si>
    <t>INE497D01022</t>
  </si>
  <si>
    <t>DATAMATICS</t>
  </si>
  <si>
    <t>INE365B01017</t>
  </si>
  <si>
    <t>DBCORP</t>
  </si>
  <si>
    <t>INE950I01011</t>
  </si>
  <si>
    <t>DBL</t>
  </si>
  <si>
    <t>INE917M01012</t>
  </si>
  <si>
    <t>DBREALTY</t>
  </si>
  <si>
    <t>INE879I01012</t>
  </si>
  <si>
    <t>DBSTOCKBRO</t>
  </si>
  <si>
    <t>INE921B01025</t>
  </si>
  <si>
    <t>DCAL</t>
  </si>
  <si>
    <t>INE385W01011</t>
  </si>
  <si>
    <t>DCBBANK</t>
  </si>
  <si>
    <t>INE503A01015</t>
  </si>
  <si>
    <t>DCM</t>
  </si>
  <si>
    <t>INE498A01018</t>
  </si>
  <si>
    <t>DCMNVL</t>
  </si>
  <si>
    <t>INE08KP01019</t>
  </si>
  <si>
    <t>DCMSHRIRAM</t>
  </si>
  <si>
    <t>INE499A01024</t>
  </si>
  <si>
    <t>DCW</t>
  </si>
  <si>
    <t>INE500A01029</t>
  </si>
  <si>
    <t>DECCANCE</t>
  </si>
  <si>
    <t>INE583C01021</t>
  </si>
  <si>
    <t>DEEPAKFERT</t>
  </si>
  <si>
    <t>INE501A01019</t>
  </si>
  <si>
    <t>DEEPAKNTR</t>
  </si>
  <si>
    <t>INE288B01029</t>
  </si>
  <si>
    <t>DEEPIND</t>
  </si>
  <si>
    <t>INE677H01012</t>
  </si>
  <si>
    <t>INE124G01033</t>
  </si>
  <si>
    <t>DELTAMAGNT</t>
  </si>
  <si>
    <t>INE393A01011</t>
  </si>
  <si>
    <t>DEN</t>
  </si>
  <si>
    <t>INE947J01015</t>
  </si>
  <si>
    <t>DENORA</t>
  </si>
  <si>
    <t>INE244A01016</t>
  </si>
  <si>
    <t>DFMFOODS</t>
  </si>
  <si>
    <t>INE456C01020</t>
  </si>
  <si>
    <t>DGCONTENT</t>
  </si>
  <si>
    <t>INE03JI01017</t>
  </si>
  <si>
    <t>DHAMPURSUG</t>
  </si>
  <si>
    <t>INE041A01016</t>
  </si>
  <si>
    <t>DHANBANK</t>
  </si>
  <si>
    <t>INE680A01011</t>
  </si>
  <si>
    <t>DHANUKA</t>
  </si>
  <si>
    <t>INE435G01025</t>
  </si>
  <si>
    <t>DHARSUGAR</t>
  </si>
  <si>
    <t>INE988C01014</t>
  </si>
  <si>
    <t>DHFL</t>
  </si>
  <si>
    <t>INE202B01012</t>
  </si>
  <si>
    <t>DHUNINV</t>
  </si>
  <si>
    <t>INE320L01011</t>
  </si>
  <si>
    <t>DIAMONDYD</t>
  </si>
  <si>
    <t>INE393P01035</t>
  </si>
  <si>
    <t>DICIND</t>
  </si>
  <si>
    <t>INE303A01010</t>
  </si>
  <si>
    <t>DISHTV</t>
  </si>
  <si>
    <t>INE836F01026</t>
  </si>
  <si>
    <t>INE361B01024</t>
  </si>
  <si>
    <t>DIXON</t>
  </si>
  <si>
    <t>INE935N01012</t>
  </si>
  <si>
    <t>DLF</t>
  </si>
  <si>
    <t>INE271C01023</t>
  </si>
  <si>
    <t>DLINKINDIA</t>
  </si>
  <si>
    <t>INE250K01012</t>
  </si>
  <si>
    <t>DMART</t>
  </si>
  <si>
    <t>INE192R01011</t>
  </si>
  <si>
    <t>DNAMEDIA</t>
  </si>
  <si>
    <t>INE016M01021</t>
  </si>
  <si>
    <t>DOLAT</t>
  </si>
  <si>
    <t>INE966A01022</t>
  </si>
  <si>
    <t>DOLLAR</t>
  </si>
  <si>
    <t>INE325C01035</t>
  </si>
  <si>
    <t>DONEAR</t>
  </si>
  <si>
    <t>INE668D01028</t>
  </si>
  <si>
    <t>DPSCLTD</t>
  </si>
  <si>
    <t>INE360C01024</t>
  </si>
  <si>
    <t>DQE</t>
  </si>
  <si>
    <t>INE656K01010</t>
  </si>
  <si>
    <t>DREDGECORP</t>
  </si>
  <si>
    <t>INE506A01018</t>
  </si>
  <si>
    <t>DRREDDY</t>
  </si>
  <si>
    <t>INE089A01023</t>
  </si>
  <si>
    <t>DSSL</t>
  </si>
  <si>
    <t>INE417B01040</t>
  </si>
  <si>
    <t>DTIL</t>
  </si>
  <si>
    <t>INE341R01014</t>
  </si>
  <si>
    <t>DUCON</t>
  </si>
  <si>
    <t>INE741L01018</t>
  </si>
  <si>
    <t>DVL</t>
  </si>
  <si>
    <t>INE477B01010</t>
  </si>
  <si>
    <t>DWARKESH</t>
  </si>
  <si>
    <t>INE366A01041</t>
  </si>
  <si>
    <t>DYNAMATECH</t>
  </si>
  <si>
    <t>INE221B01012</t>
  </si>
  <si>
    <t>DYNPRO</t>
  </si>
  <si>
    <t>INE256H01015</t>
  </si>
  <si>
    <t>EASTSILK</t>
  </si>
  <si>
    <t>INE962C01027</t>
  </si>
  <si>
    <t>EBBETF0423</t>
  </si>
  <si>
    <t>INF754K01KN4</t>
  </si>
  <si>
    <t>EBBETF0430</t>
  </si>
  <si>
    <t>INF754K01KO2</t>
  </si>
  <si>
    <t>EBIXFOREX</t>
  </si>
  <si>
    <t>INE726L01019</t>
  </si>
  <si>
    <t>ECLERX</t>
  </si>
  <si>
    <t>INE738I01010</t>
  </si>
  <si>
    <t>NH</t>
  </si>
  <si>
    <t>EDELWEISS</t>
  </si>
  <si>
    <t>INE532F01054</t>
  </si>
  <si>
    <t>INE066A01013</t>
  </si>
  <si>
    <t>EIDPARRY</t>
  </si>
  <si>
    <t>INE126A01031</t>
  </si>
  <si>
    <t>EIHAHOTELS</t>
  </si>
  <si>
    <t>INE276C01014</t>
  </si>
  <si>
    <t>EIHOTEL</t>
  </si>
  <si>
    <t>INE230A01023</t>
  </si>
  <si>
    <t>EIMCOELECO</t>
  </si>
  <si>
    <t>INE158B01016</t>
  </si>
  <si>
    <t>EKC</t>
  </si>
  <si>
    <t>INE184H01027</t>
  </si>
  <si>
    <t>ELECON</t>
  </si>
  <si>
    <t>INE205B01023</t>
  </si>
  <si>
    <t>ELECTCAST</t>
  </si>
  <si>
    <t>INE086A01029</t>
  </si>
  <si>
    <t>ELECTHERM</t>
  </si>
  <si>
    <t>INE822G01016</t>
  </si>
  <si>
    <t>ELGIEQUIP</t>
  </si>
  <si>
    <t>INE285A01027</t>
  </si>
  <si>
    <t>ELGIRUBCO</t>
  </si>
  <si>
    <t>INE819L01012</t>
  </si>
  <si>
    <t>EMAMILTD</t>
  </si>
  <si>
    <t>INE548C01032</t>
  </si>
  <si>
    <t>EMAMIPAP</t>
  </si>
  <si>
    <t>INE830C01026</t>
  </si>
  <si>
    <t>EMAMIREAL</t>
  </si>
  <si>
    <t>INE778K01012</t>
  </si>
  <si>
    <t>EMKAY</t>
  </si>
  <si>
    <t>INE296H01011</t>
  </si>
  <si>
    <t>EMMBI</t>
  </si>
  <si>
    <t>INE753K01015</t>
  </si>
  <si>
    <t>ENDURANCE</t>
  </si>
  <si>
    <t>INE913H01037</t>
  </si>
  <si>
    <t>ENERGYDEV</t>
  </si>
  <si>
    <t>INE306C01019</t>
  </si>
  <si>
    <t>INE510A01028</t>
  </si>
  <si>
    <t>ENIL</t>
  </si>
  <si>
    <t>INE265F01028</t>
  </si>
  <si>
    <t>EQ30</t>
  </si>
  <si>
    <t>INF754K01EM9</t>
  </si>
  <si>
    <t>EQUITAS</t>
  </si>
  <si>
    <t>INE988K01017</t>
  </si>
  <si>
    <t>ERIS</t>
  </si>
  <si>
    <t>INE406M01024</t>
  </si>
  <si>
    <t>EROSMEDIA</t>
  </si>
  <si>
    <t>INE416L01017</t>
  </si>
  <si>
    <t>ESABINDIA</t>
  </si>
  <si>
    <t>INE284A01012</t>
  </si>
  <si>
    <t>ESCORTS</t>
  </si>
  <si>
    <t>INE042A01014</t>
  </si>
  <si>
    <t>ESSARSHPNG</t>
  </si>
  <si>
    <t>INE122M01019</t>
  </si>
  <si>
    <t>ESSELPACK</t>
  </si>
  <si>
    <t>INE255A01020</t>
  </si>
  <si>
    <t>ESTER</t>
  </si>
  <si>
    <t>INE778B01029</t>
  </si>
  <si>
    <t>EUROMULTI</t>
  </si>
  <si>
    <t>INE063J01011</t>
  </si>
  <si>
    <t>EVEREADY</t>
  </si>
  <si>
    <t>INE128A01029</t>
  </si>
  <si>
    <t>EVERESTIND</t>
  </si>
  <si>
    <t>INE295A01018</t>
  </si>
  <si>
    <t>EXCEL</t>
  </si>
  <si>
    <t>INE688J01015</t>
  </si>
  <si>
    <t>EXCELINDUS</t>
  </si>
  <si>
    <t>INE369A01029</t>
  </si>
  <si>
    <t>EXIDEIND</t>
  </si>
  <si>
    <t>INE302A01020</t>
  </si>
  <si>
    <t>EXPLEOSOL</t>
  </si>
  <si>
    <t>INE201K01015</t>
  </si>
  <si>
    <t>FACT</t>
  </si>
  <si>
    <t>INE188A01015</t>
  </si>
  <si>
    <t>FAIRCHEM</t>
  </si>
  <si>
    <t>INE959A01019</t>
  </si>
  <si>
    <t>FCL</t>
  </si>
  <si>
    <t>INE045J01026</t>
  </si>
  <si>
    <t>FCONSUMER</t>
  </si>
  <si>
    <t>INE220J01025</t>
  </si>
  <si>
    <t>FCSSOFT</t>
  </si>
  <si>
    <t>INE512B01022</t>
  </si>
  <si>
    <t>FDC</t>
  </si>
  <si>
    <t>INE258B01022</t>
  </si>
  <si>
    <t>FEDERALBNK</t>
  </si>
  <si>
    <t>INE171A01029</t>
  </si>
  <si>
    <t>FEL</t>
  </si>
  <si>
    <t>INE623B01027</t>
  </si>
  <si>
    <t>FELDVR</t>
  </si>
  <si>
    <t>IN9623B01058</t>
  </si>
  <si>
    <t>FIEMIND</t>
  </si>
  <si>
    <t>INE737H01014</t>
  </si>
  <si>
    <t>FILATEX</t>
  </si>
  <si>
    <t>INE816B01027</t>
  </si>
  <si>
    <t>FINCABLES</t>
  </si>
  <si>
    <t>INE235A01022</t>
  </si>
  <si>
    <t>FINEORG</t>
  </si>
  <si>
    <t>INE686Y01026</t>
  </si>
  <si>
    <t>FINPIPE</t>
  </si>
  <si>
    <t>INE183A01016</t>
  </si>
  <si>
    <t>FLEXITUFF</t>
  </si>
  <si>
    <t>INE060J01017</t>
  </si>
  <si>
    <t>FLFL</t>
  </si>
  <si>
    <t>INE452O01016</t>
  </si>
  <si>
    <t>FLUOROCHEM</t>
  </si>
  <si>
    <t>INE09N301011</t>
  </si>
  <si>
    <t>FMGOETZE</t>
  </si>
  <si>
    <t>INE529A01010</t>
  </si>
  <si>
    <t>FMNL</t>
  </si>
  <si>
    <t>INE360L01017</t>
  </si>
  <si>
    <t>FORCEMOT</t>
  </si>
  <si>
    <t>INE451A01017</t>
  </si>
  <si>
    <t>FORTIS</t>
  </si>
  <si>
    <t>INE061F01013</t>
  </si>
  <si>
    <t>FOSECOIND</t>
  </si>
  <si>
    <t>INE519A01011</t>
  </si>
  <si>
    <t>FRETAIL</t>
  </si>
  <si>
    <t>INE752P01024</t>
  </si>
  <si>
    <t>FSC</t>
  </si>
  <si>
    <t>INE935Q01015</t>
  </si>
  <si>
    <t>FSL</t>
  </si>
  <si>
    <t>INE684F01012</t>
  </si>
  <si>
    <t>GABRIEL</t>
  </si>
  <si>
    <t>INE524A01029</t>
  </si>
  <si>
    <t>GAEL</t>
  </si>
  <si>
    <t>INE036B01022</t>
  </si>
  <si>
    <t>GAIL</t>
  </si>
  <si>
    <t>INE129A01019</t>
  </si>
  <si>
    <t>GAL</t>
  </si>
  <si>
    <t>INE482J01021</t>
  </si>
  <si>
    <t>GALAXYSURF</t>
  </si>
  <si>
    <t>INE600K01018</t>
  </si>
  <si>
    <t>GALLANTT</t>
  </si>
  <si>
    <t>INE297H01019</t>
  </si>
  <si>
    <t>GALLISPAT</t>
  </si>
  <si>
    <t>INE528K01029</t>
  </si>
  <si>
    <t>GAMMNINFRA</t>
  </si>
  <si>
    <t>INE181G01025</t>
  </si>
  <si>
    <t>GANDHITUBE</t>
  </si>
  <si>
    <t>INE524B01027</t>
  </si>
  <si>
    <t>GANECOS</t>
  </si>
  <si>
    <t>INE845D01014</t>
  </si>
  <si>
    <t>GANESHHOUC</t>
  </si>
  <si>
    <t>INE460C01014</t>
  </si>
  <si>
    <t>GANGESSECU</t>
  </si>
  <si>
    <t>INE335W01016</t>
  </si>
  <si>
    <t>GARDENSILK</t>
  </si>
  <si>
    <t>INE526A01016</t>
  </si>
  <si>
    <t>GARFIBRES</t>
  </si>
  <si>
    <t>INE276A01018</t>
  </si>
  <si>
    <t>GATI</t>
  </si>
  <si>
    <t>INE152B01027</t>
  </si>
  <si>
    <t>GDL</t>
  </si>
  <si>
    <t>INE852F01015</t>
  </si>
  <si>
    <t>GEECEE</t>
  </si>
  <si>
    <t>INE916G01016</t>
  </si>
  <si>
    <t>GEEKAYWIRE</t>
  </si>
  <si>
    <t>INE669X01016</t>
  </si>
  <si>
    <t>GENESYS</t>
  </si>
  <si>
    <t>INE727B01026</t>
  </si>
  <si>
    <t>GENUSPAPER</t>
  </si>
  <si>
    <t>INE949P01018</t>
  </si>
  <si>
    <t>GENUSPOWER</t>
  </si>
  <si>
    <t>INE955D01029</t>
  </si>
  <si>
    <t>GEOJITFSL</t>
  </si>
  <si>
    <t>INE007B01023</t>
  </si>
  <si>
    <t>GEPIL</t>
  </si>
  <si>
    <t>INE878A01011</t>
  </si>
  <si>
    <t>GESHIP</t>
  </si>
  <si>
    <t>INE017A01032</t>
  </si>
  <si>
    <t>GET&amp;D</t>
  </si>
  <si>
    <t>INE200A01026</t>
  </si>
  <si>
    <t>GFLLIMITED</t>
  </si>
  <si>
    <t>INE538A01037</t>
  </si>
  <si>
    <t>GHCL</t>
  </si>
  <si>
    <t>INE539A01019</t>
  </si>
  <si>
    <t>GICHSGFIN</t>
  </si>
  <si>
    <t>INE289B01019</t>
  </si>
  <si>
    <t>GICRE</t>
  </si>
  <si>
    <t>INE481Y01014</t>
  </si>
  <si>
    <t>GILLANDERS</t>
  </si>
  <si>
    <t>INE047B01011</t>
  </si>
  <si>
    <t>GILLETTE</t>
  </si>
  <si>
    <t>INE322A01010</t>
  </si>
  <si>
    <t>GINNIFILA</t>
  </si>
  <si>
    <t>INE424C01010</t>
  </si>
  <si>
    <t>GIPCL</t>
  </si>
  <si>
    <t>INE162A01010</t>
  </si>
  <si>
    <t>GKWLIMITED</t>
  </si>
  <si>
    <t>INE528A01020</t>
  </si>
  <si>
    <t>GLAXO</t>
  </si>
  <si>
    <t>INE159A01016</t>
  </si>
  <si>
    <t>GLENMARK</t>
  </si>
  <si>
    <t>INE935A01035</t>
  </si>
  <si>
    <t>GLFL</t>
  </si>
  <si>
    <t>INE540A01017</t>
  </si>
  <si>
    <t>GLOBALVECT</t>
  </si>
  <si>
    <t>INE792H01019</t>
  </si>
  <si>
    <t>GLOBOFFS</t>
  </si>
  <si>
    <t>INE446C01013</t>
  </si>
  <si>
    <t>GLOBUSSPR</t>
  </si>
  <si>
    <t>INE615I01010</t>
  </si>
  <si>
    <t>GMBREW</t>
  </si>
  <si>
    <t>INE075D01018</t>
  </si>
  <si>
    <t>GMDCLTD</t>
  </si>
  <si>
    <t>INE131A01031</t>
  </si>
  <si>
    <t>GMMPFAUDLR</t>
  </si>
  <si>
    <t>INE541A01023</t>
  </si>
  <si>
    <t>GMRINFRA</t>
  </si>
  <si>
    <t>INE776C01039</t>
  </si>
  <si>
    <t>GNA</t>
  </si>
  <si>
    <t>INE934S01014</t>
  </si>
  <si>
    <t>GNFC</t>
  </si>
  <si>
    <t>INE113A01013</t>
  </si>
  <si>
    <t>GOACARBON</t>
  </si>
  <si>
    <t>INE426D01013</t>
  </si>
  <si>
    <t>GOCLCORP</t>
  </si>
  <si>
    <t>INE077F01035</t>
  </si>
  <si>
    <t>GODFRYPHLP</t>
  </si>
  <si>
    <t>INE260B01028</t>
  </si>
  <si>
    <t>GODREJAGRO</t>
  </si>
  <si>
    <t>INE850D01014</t>
  </si>
  <si>
    <t>GODREJCP</t>
  </si>
  <si>
    <t>INE102D01028</t>
  </si>
  <si>
    <t>GODREJIND</t>
  </si>
  <si>
    <t>INE233A01035</t>
  </si>
  <si>
    <t>GODREJPROP</t>
  </si>
  <si>
    <t>INE484J01027</t>
  </si>
  <si>
    <t>GOKEX</t>
  </si>
  <si>
    <t>INE887G01027</t>
  </si>
  <si>
    <t>GOKUL</t>
  </si>
  <si>
    <t>INE020J01029</t>
  </si>
  <si>
    <t>GOKULAGRO</t>
  </si>
  <si>
    <t>INE314T01025</t>
  </si>
  <si>
    <t>GOLDBEES</t>
  </si>
  <si>
    <t>INF204KB17I5</t>
  </si>
  <si>
    <t>GOLDENTOBC</t>
  </si>
  <si>
    <t>INE973A01010</t>
  </si>
  <si>
    <t>GOLDIAM</t>
  </si>
  <si>
    <t>INE025B01017</t>
  </si>
  <si>
    <t>GOLDSHARE</t>
  </si>
  <si>
    <t>INF789F01059</t>
  </si>
  <si>
    <t>GOLDTECH</t>
  </si>
  <si>
    <t>INE805A01014</t>
  </si>
  <si>
    <t>GOODLUCK</t>
  </si>
  <si>
    <t>INE127I01024</t>
  </si>
  <si>
    <t>GPIL</t>
  </si>
  <si>
    <t>INE177H01013</t>
  </si>
  <si>
    <t>GPPL</t>
  </si>
  <si>
    <t>INE517F01014</t>
  </si>
  <si>
    <t>GPTINFRA</t>
  </si>
  <si>
    <t>INE390G01014</t>
  </si>
  <si>
    <t>GRANULES</t>
  </si>
  <si>
    <t>INE101D01020</t>
  </si>
  <si>
    <t>GRAPHITE</t>
  </si>
  <si>
    <t>INE371A01025</t>
  </si>
  <si>
    <t>GRASIM</t>
  </si>
  <si>
    <t>INE047A01021</t>
  </si>
  <si>
    <t>GRAVITA</t>
  </si>
  <si>
    <t>INE024L01027</t>
  </si>
  <si>
    <t>INE224A01026</t>
  </si>
  <si>
    <t>GREENLAM</t>
  </si>
  <si>
    <t>INE544R01013</t>
  </si>
  <si>
    <t>GREENPANEL</t>
  </si>
  <si>
    <t>INE08ZM01014</t>
  </si>
  <si>
    <t>GREENPLY</t>
  </si>
  <si>
    <t>INE461C01038</t>
  </si>
  <si>
    <t>GREENPOWER</t>
  </si>
  <si>
    <t>INE999K01014</t>
  </si>
  <si>
    <t>GRINDWELL</t>
  </si>
  <si>
    <t>INE536A01023</t>
  </si>
  <si>
    <t>GROBTEA</t>
  </si>
  <si>
    <t>INE646C01018</t>
  </si>
  <si>
    <t>GRPLTD</t>
  </si>
  <si>
    <t>INE137I01015</t>
  </si>
  <si>
    <t>GRSE</t>
  </si>
  <si>
    <t>INE382Z01011</t>
  </si>
  <si>
    <t>GSCLCEMENT</t>
  </si>
  <si>
    <t>INE542A01039</t>
  </si>
  <si>
    <t>GSFC</t>
  </si>
  <si>
    <t>INE026A01025</t>
  </si>
  <si>
    <t>GSPL</t>
  </si>
  <si>
    <t>INE246F01010</t>
  </si>
  <si>
    <t>GSS</t>
  </si>
  <si>
    <t>INE871H01011</t>
  </si>
  <si>
    <t>GTL</t>
  </si>
  <si>
    <t>INE043A01012</t>
  </si>
  <si>
    <t>GTLINFRA</t>
  </si>
  <si>
    <t>INE221H01019</t>
  </si>
  <si>
    <t>GTNIND</t>
  </si>
  <si>
    <t>INE537A01013</t>
  </si>
  <si>
    <t>GTNTEX</t>
  </si>
  <si>
    <t>INE302H01017</t>
  </si>
  <si>
    <t>GTPL</t>
  </si>
  <si>
    <t>INE869I01013</t>
  </si>
  <si>
    <t>GUFICBIO</t>
  </si>
  <si>
    <t>INE742B01025</t>
  </si>
  <si>
    <t>GUJALKALI</t>
  </si>
  <si>
    <t>INE186A01019</t>
  </si>
  <si>
    <t>GUJAPOLLO</t>
  </si>
  <si>
    <t>INE826C01016</t>
  </si>
  <si>
    <t>GUJGASLTD</t>
  </si>
  <si>
    <t>INE844O01030</t>
  </si>
  <si>
    <t>GULFOILLUB</t>
  </si>
  <si>
    <t>INE635Q01029</t>
  </si>
  <si>
    <t>GULFPETRO</t>
  </si>
  <si>
    <t>INE586G01017</t>
  </si>
  <si>
    <t>GULPOLY</t>
  </si>
  <si>
    <t>INE255D01024</t>
  </si>
  <si>
    <t>GVKPIL</t>
  </si>
  <si>
    <t>INE251H01024</t>
  </si>
  <si>
    <t>HAL</t>
  </si>
  <si>
    <t>INE066F01012</t>
  </si>
  <si>
    <t>HARITASEAT</t>
  </si>
  <si>
    <t>INE939D01015</t>
  </si>
  <si>
    <t>HARRMALAYA</t>
  </si>
  <si>
    <t>INE544A01019</t>
  </si>
  <si>
    <t>HATHWAY</t>
  </si>
  <si>
    <t>INE982F01036</t>
  </si>
  <si>
    <t>HATSUN</t>
  </si>
  <si>
    <t>INE473B01035</t>
  </si>
  <si>
    <t>HAVELLS</t>
  </si>
  <si>
    <t>INE176B01034</t>
  </si>
  <si>
    <t>HBLPOWER</t>
  </si>
  <si>
    <t>INE292B01021</t>
  </si>
  <si>
    <t>HBSL</t>
  </si>
  <si>
    <t>INE550B01022</t>
  </si>
  <si>
    <t>HCC</t>
  </si>
  <si>
    <t>INE549A01026</t>
  </si>
  <si>
    <t>HCG</t>
  </si>
  <si>
    <t>INE075I01017</t>
  </si>
  <si>
    <t>HCL-INSYS</t>
  </si>
  <si>
    <t>INE236A01020</t>
  </si>
  <si>
    <t>HCLTECH</t>
  </si>
  <si>
    <t>INE860A01027</t>
  </si>
  <si>
    <t>HDFC</t>
  </si>
  <si>
    <t>INE001A01036</t>
  </si>
  <si>
    <t>HDFCAMC</t>
  </si>
  <si>
    <t>INE127D01025</t>
  </si>
  <si>
    <t>INE040A01034</t>
  </si>
  <si>
    <t>HDFCLIFE</t>
  </si>
  <si>
    <t>INE795G01014</t>
  </si>
  <si>
    <t>HDFCMFGETF</t>
  </si>
  <si>
    <t>INF179K01CN1</t>
  </si>
  <si>
    <t>HDFCNIFETF</t>
  </si>
  <si>
    <t>INF179KB1KP3</t>
  </si>
  <si>
    <t>HDFCSENETF</t>
  </si>
  <si>
    <t>INF179KB1KQ1</t>
  </si>
  <si>
    <t>HEG</t>
  </si>
  <si>
    <t>INE545A01016</t>
  </si>
  <si>
    <t>HEIDELBERG</t>
  </si>
  <si>
    <t>INE578A01017</t>
  </si>
  <si>
    <t>HERCULES</t>
  </si>
  <si>
    <t>INE688E01024</t>
  </si>
  <si>
    <t>HERITGFOOD</t>
  </si>
  <si>
    <t>INE978A01027</t>
  </si>
  <si>
    <t>INE158A01026</t>
  </si>
  <si>
    <t>HESTERBIO</t>
  </si>
  <si>
    <t>INE782E01017</t>
  </si>
  <si>
    <t>HEXAWARE</t>
  </si>
  <si>
    <t>INE093A01033</t>
  </si>
  <si>
    <t>HFCL</t>
  </si>
  <si>
    <t>INE548A01028</t>
  </si>
  <si>
    <t>HGINFRA</t>
  </si>
  <si>
    <t>INE926X01010</t>
  </si>
  <si>
    <t>HGS</t>
  </si>
  <si>
    <t>INE170I01016</t>
  </si>
  <si>
    <t>HIKAL</t>
  </si>
  <si>
    <t>INE475B01022</t>
  </si>
  <si>
    <t>HIL</t>
  </si>
  <si>
    <t>INE557A01011</t>
  </si>
  <si>
    <t>HILTON</t>
  </si>
  <si>
    <t>INE788H01017</t>
  </si>
  <si>
    <t>HIMATSEIDE</t>
  </si>
  <si>
    <t>INE049A01027</t>
  </si>
  <si>
    <t>HINDALCO</t>
  </si>
  <si>
    <t>INE038A01020</t>
  </si>
  <si>
    <t>HINDCOMPOS</t>
  </si>
  <si>
    <t>INE310C01029</t>
  </si>
  <si>
    <t>HINDCOPPER</t>
  </si>
  <si>
    <t>INE531E01026</t>
  </si>
  <si>
    <t>HINDMOTORS</t>
  </si>
  <si>
    <t>INE253A01025</t>
  </si>
  <si>
    <t>HINDNATGLS</t>
  </si>
  <si>
    <t>INE952A01022</t>
  </si>
  <si>
    <t>HINDOILEXP</t>
  </si>
  <si>
    <t>INE345A01011</t>
  </si>
  <si>
    <t>HINDPETRO</t>
  </si>
  <si>
    <t>INE094A01015</t>
  </si>
  <si>
    <t>INE030A01027</t>
  </si>
  <si>
    <t>INE267A01025</t>
  </si>
  <si>
    <t>HIRECT</t>
  </si>
  <si>
    <t>INE835D01023</t>
  </si>
  <si>
    <t>HISARMETAL</t>
  </si>
  <si>
    <t>INE598C01011</t>
  </si>
  <si>
    <t>HITECH</t>
  </si>
  <si>
    <t>INE106T01017</t>
  </si>
  <si>
    <t>HITECHCORP</t>
  </si>
  <si>
    <t>INE120D01012</t>
  </si>
  <si>
    <t>HITECHGEAR</t>
  </si>
  <si>
    <t>INE127B01011</t>
  </si>
  <si>
    <t>HLVLTD</t>
  </si>
  <si>
    <t>INE102A01024</t>
  </si>
  <si>
    <t>HMVL</t>
  </si>
  <si>
    <t>INE871K01015</t>
  </si>
  <si>
    <t>HNDFDS</t>
  </si>
  <si>
    <t>INE254N01018</t>
  </si>
  <si>
    <t>HNGSNGBEES</t>
  </si>
  <si>
    <t>INF204KB19I1</t>
  </si>
  <si>
    <t>HONAUT</t>
  </si>
  <si>
    <t>INE671A01010</t>
  </si>
  <si>
    <t>HONDAPOWER</t>
  </si>
  <si>
    <t>INE634A01018</t>
  </si>
  <si>
    <t>HOTELRUGBY</t>
  </si>
  <si>
    <t>INE275F01019</t>
  </si>
  <si>
    <t>HOVS</t>
  </si>
  <si>
    <t>INE596H01014</t>
  </si>
  <si>
    <t>HPL</t>
  </si>
  <si>
    <t>INE495S01016</t>
  </si>
  <si>
    <t>HSCL</t>
  </si>
  <si>
    <t>INE019C01026</t>
  </si>
  <si>
    <t>HSIL</t>
  </si>
  <si>
    <t>INE415A01038</t>
  </si>
  <si>
    <t>HTMEDIA</t>
  </si>
  <si>
    <t>INE501G01024</t>
  </si>
  <si>
    <t>HUBTOWN</t>
  </si>
  <si>
    <t>INE703H01016</t>
  </si>
  <si>
    <t>HUDCO</t>
  </si>
  <si>
    <t>INE031A01017</t>
  </si>
  <si>
    <t>IBMFNIFTY</t>
  </si>
  <si>
    <t>INF666M01FS5</t>
  </si>
  <si>
    <t>IBREALEST</t>
  </si>
  <si>
    <t>INE069I01010</t>
  </si>
  <si>
    <t>IBULHSGFIN</t>
  </si>
  <si>
    <t>INE148I01020</t>
  </si>
  <si>
    <t>IBULISL</t>
  </si>
  <si>
    <t>INE126M01010</t>
  </si>
  <si>
    <t>IBVENTURES</t>
  </si>
  <si>
    <t>INE274G01010</t>
  </si>
  <si>
    <t>ICICI500</t>
  </si>
  <si>
    <t>INF109KC1CZ3</t>
  </si>
  <si>
    <t>ICICIB22</t>
  </si>
  <si>
    <t>INF109KB15Y7</t>
  </si>
  <si>
    <t>INE090A01021</t>
  </si>
  <si>
    <t>ICICIBANKN</t>
  </si>
  <si>
    <t>INF109KC1E27</t>
  </si>
  <si>
    <t>ICICIBANKP</t>
  </si>
  <si>
    <t>INF109KC1E35</t>
  </si>
  <si>
    <t>ICICIGI</t>
  </si>
  <si>
    <t>INE765G01017</t>
  </si>
  <si>
    <t>ICICIGOLD</t>
  </si>
  <si>
    <t>INF109KC1NT3</t>
  </si>
  <si>
    <t>ICICILIQ</t>
  </si>
  <si>
    <t>INF109KC1KT9</t>
  </si>
  <si>
    <t>ICICILOVOL</t>
  </si>
  <si>
    <t>INF109KB10T8</t>
  </si>
  <si>
    <t>ICICIM150</t>
  </si>
  <si>
    <t>INF109KC1G82</t>
  </si>
  <si>
    <t>ICICIMCAP</t>
  </si>
  <si>
    <t>INF109KB1XT3</t>
  </si>
  <si>
    <t>ICICINF100</t>
  </si>
  <si>
    <t>INF109KA1962</t>
  </si>
  <si>
    <t>INF109K012R6</t>
  </si>
  <si>
    <t>ICICINV20</t>
  </si>
  <si>
    <t>INF109KB1WY5</t>
  </si>
  <si>
    <t>ICICINXT50</t>
  </si>
  <si>
    <t>INF109KC1NS5</t>
  </si>
  <si>
    <t>ICICIPRULI</t>
  </si>
  <si>
    <t>INE726G01019</t>
  </si>
  <si>
    <t>ICICISENSX</t>
  </si>
  <si>
    <t>INF346A01034</t>
  </si>
  <si>
    <t>ICIL</t>
  </si>
  <si>
    <t>INE483B01026</t>
  </si>
  <si>
    <t>ICRA</t>
  </si>
  <si>
    <t>INE725G01011</t>
  </si>
  <si>
    <t>IDBI</t>
  </si>
  <si>
    <t>INE008A01015</t>
  </si>
  <si>
    <t>IDBIGOLD</t>
  </si>
  <si>
    <t>INF397L01554</t>
  </si>
  <si>
    <t>IDEA</t>
  </si>
  <si>
    <t>INE669E01016</t>
  </si>
  <si>
    <t>IDFC</t>
  </si>
  <si>
    <t>INE043D01016</t>
  </si>
  <si>
    <t>IDFCFIRSTB</t>
  </si>
  <si>
    <t>INE092T01019</t>
  </si>
  <si>
    <t>IDFNIFTYET</t>
  </si>
  <si>
    <t>INF194KA1U07</t>
  </si>
  <si>
    <t>IEX</t>
  </si>
  <si>
    <t>INE022Q01020</t>
  </si>
  <si>
    <t>IFBAGRO</t>
  </si>
  <si>
    <t>INE076C01018</t>
  </si>
  <si>
    <t>IFBIND</t>
  </si>
  <si>
    <t>INE559A01017</t>
  </si>
  <si>
    <t>IFCI</t>
  </si>
  <si>
    <t>INE039A01010</t>
  </si>
  <si>
    <t>IFGLEXPOR</t>
  </si>
  <si>
    <t>INE133Y01011</t>
  </si>
  <si>
    <t>IGARASHI</t>
  </si>
  <si>
    <t>INE188B01013</t>
  </si>
  <si>
    <t>IGL</t>
  </si>
  <si>
    <t>INE203G01027</t>
  </si>
  <si>
    <t>IGPL</t>
  </si>
  <si>
    <t>INE204A01010</t>
  </si>
  <si>
    <t>IIFL</t>
  </si>
  <si>
    <t>INE530B01024</t>
  </si>
  <si>
    <t>IIFLSEC</t>
  </si>
  <si>
    <t>INE489L01022</t>
  </si>
  <si>
    <t>IIFLWAM</t>
  </si>
  <si>
    <t>INE466L01020</t>
  </si>
  <si>
    <t>IITL</t>
  </si>
  <si>
    <t>INE886A01014</t>
  </si>
  <si>
    <t>IMAGICAA</t>
  </si>
  <si>
    <t>INE172N01012</t>
  </si>
  <si>
    <t>IMFA</t>
  </si>
  <si>
    <t>INE919H01018</t>
  </si>
  <si>
    <t>IMPAL</t>
  </si>
  <si>
    <t>INE547E01014</t>
  </si>
  <si>
    <t>INDBANK</t>
  </si>
  <si>
    <t>INE841B01017</t>
  </si>
  <si>
    <t>INDHOTEL</t>
  </si>
  <si>
    <t>INE053A01029</t>
  </si>
  <si>
    <t>INDIACEM</t>
  </si>
  <si>
    <t>INE383A01012</t>
  </si>
  <si>
    <t>INDIAGLYCO</t>
  </si>
  <si>
    <t>INE560A01015</t>
  </si>
  <si>
    <t>INDIAMART</t>
  </si>
  <si>
    <t>INE933S01016</t>
  </si>
  <si>
    <t>INDIANB</t>
  </si>
  <si>
    <t>INE562A01011</t>
  </si>
  <si>
    <t>INDIANCARD</t>
  </si>
  <si>
    <t>INE061A01014</t>
  </si>
  <si>
    <t>INDIANHUME</t>
  </si>
  <si>
    <t>INE323C01030</t>
  </si>
  <si>
    <t>INDIGO</t>
  </si>
  <si>
    <t>INE646L01027</t>
  </si>
  <si>
    <t>INDNIPPON</t>
  </si>
  <si>
    <t>INE092B01025</t>
  </si>
  <si>
    <t>INDOCO</t>
  </si>
  <si>
    <t>INE873D01024</t>
  </si>
  <si>
    <t>INDORAMA</t>
  </si>
  <si>
    <t>INE156A01020</t>
  </si>
  <si>
    <t>INDOSTAR</t>
  </si>
  <si>
    <t>INE896L01010</t>
  </si>
  <si>
    <t>INDOTECH</t>
  </si>
  <si>
    <t>INE332H01014</t>
  </si>
  <si>
    <t>INDRAMEDCO</t>
  </si>
  <si>
    <t>INE681B01017</t>
  </si>
  <si>
    <t>INDSWFTLAB</t>
  </si>
  <si>
    <t>INE915B01019</t>
  </si>
  <si>
    <t>INDSWFTLTD</t>
  </si>
  <si>
    <t>INE788B01028</t>
  </si>
  <si>
    <t>INDTERRAIN</t>
  </si>
  <si>
    <t>INE611L01021</t>
  </si>
  <si>
    <t>INDUSINDBK</t>
  </si>
  <si>
    <t>INE095A01012</t>
  </si>
  <si>
    <t>INEOSSTYRO</t>
  </si>
  <si>
    <t>INE189B01011</t>
  </si>
  <si>
    <t>INFIBEAM</t>
  </si>
  <si>
    <t>INE483S01020</t>
  </si>
  <si>
    <t>INFOBEAN</t>
  </si>
  <si>
    <t>INE344S01016</t>
  </si>
  <si>
    <t>INFRABEES</t>
  </si>
  <si>
    <t>INF732E01268</t>
  </si>
  <si>
    <t>INFRATEL</t>
  </si>
  <si>
    <t>INE121J01017</t>
  </si>
  <si>
    <t>INE009A01021</t>
  </si>
  <si>
    <t>INGERRAND</t>
  </si>
  <si>
    <t>INE177A01018</t>
  </si>
  <si>
    <t>INOXLEISUR</t>
  </si>
  <si>
    <t>INE312H01016</t>
  </si>
  <si>
    <t>INOXWIND</t>
  </si>
  <si>
    <t>INE066P01011</t>
  </si>
  <si>
    <t>INSECTICID</t>
  </si>
  <si>
    <t>INE070I01018</t>
  </si>
  <si>
    <t>INSPIRISYS</t>
  </si>
  <si>
    <t>INE020G01017</t>
  </si>
  <si>
    <t>INTELLECT</t>
  </si>
  <si>
    <t>INE306R01017</t>
  </si>
  <si>
    <t>INTENTECH</t>
  </si>
  <si>
    <t>INE781A01025</t>
  </si>
  <si>
    <t>INVENTURE</t>
  </si>
  <si>
    <t>INE878H01016</t>
  </si>
  <si>
    <t>IOB</t>
  </si>
  <si>
    <t>INE565A01014</t>
  </si>
  <si>
    <t>IOC</t>
  </si>
  <si>
    <t>INE242A01010</t>
  </si>
  <si>
    <t>IOLCP</t>
  </si>
  <si>
    <t>INE485C01011</t>
  </si>
  <si>
    <t>IPCALAB</t>
  </si>
  <si>
    <t>INE571A01020</t>
  </si>
  <si>
    <t>IRB</t>
  </si>
  <si>
    <t>INE821I01014</t>
  </si>
  <si>
    <t>IRCON</t>
  </si>
  <si>
    <t>INE962Y01021</t>
  </si>
  <si>
    <t>IRCTC</t>
  </si>
  <si>
    <t>INE335Y01012</t>
  </si>
  <si>
    <t>ISEC</t>
  </si>
  <si>
    <t>INE763G01038</t>
  </si>
  <si>
    <t>ISMTLTD</t>
  </si>
  <si>
    <t>INE732F01019</t>
  </si>
  <si>
    <t>INE154A01025</t>
  </si>
  <si>
    <t>ITDC</t>
  </si>
  <si>
    <t>INE353K01014</t>
  </si>
  <si>
    <t>ITDCEM</t>
  </si>
  <si>
    <t>INE686A01026</t>
  </si>
  <si>
    <t>ITI</t>
  </si>
  <si>
    <t>INE248A01017</t>
  </si>
  <si>
    <t>IVC</t>
  </si>
  <si>
    <t>INE050B01023</t>
  </si>
  <si>
    <t>IVP</t>
  </si>
  <si>
    <t>INE043C01018</t>
  </si>
  <si>
    <t>IVZINGOLD</t>
  </si>
  <si>
    <t>INF205K01361</t>
  </si>
  <si>
    <t>IZMO</t>
  </si>
  <si>
    <t>INE848A01014</t>
  </si>
  <si>
    <t>J&amp;KBANK</t>
  </si>
  <si>
    <t>INE168A01041</t>
  </si>
  <si>
    <t>JAGRAN</t>
  </si>
  <si>
    <t>INE199G01027</t>
  </si>
  <si>
    <t>JAGSNPHARM</t>
  </si>
  <si>
    <t>INE048B01027</t>
  </si>
  <si>
    <t>JAIBALAJI</t>
  </si>
  <si>
    <t>INE091G01018</t>
  </si>
  <si>
    <t>JAICORPLTD</t>
  </si>
  <si>
    <t>INE070D01027</t>
  </si>
  <si>
    <t>JAMNAAUTO</t>
  </si>
  <si>
    <t>INE039C01032</t>
  </si>
  <si>
    <t>JASH</t>
  </si>
  <si>
    <t>INE039O01011</t>
  </si>
  <si>
    <t>JAYAGROGN</t>
  </si>
  <si>
    <t>INE785A01026</t>
  </si>
  <si>
    <t>JAYBARMARU</t>
  </si>
  <si>
    <t>INE571B01028</t>
  </si>
  <si>
    <t>JAYSREETEA</t>
  </si>
  <si>
    <t>INE364A01020</t>
  </si>
  <si>
    <t>JBCHEPHARM</t>
  </si>
  <si>
    <t>INE572A01028</t>
  </si>
  <si>
    <t>JBFIND</t>
  </si>
  <si>
    <t>INE187A01017</t>
  </si>
  <si>
    <t>JBMA</t>
  </si>
  <si>
    <t>INE927D01028</t>
  </si>
  <si>
    <t>JCHAC</t>
  </si>
  <si>
    <t>INE782A01015</t>
  </si>
  <si>
    <t>JHS</t>
  </si>
  <si>
    <t>INE544H01014</t>
  </si>
  <si>
    <t>JINDALPHOT</t>
  </si>
  <si>
    <t>INE796G01012</t>
  </si>
  <si>
    <t>JINDALPOLY</t>
  </si>
  <si>
    <t>INE197D01010</t>
  </si>
  <si>
    <t>JINDALSAW</t>
  </si>
  <si>
    <t>INE324A01024</t>
  </si>
  <si>
    <t>INE749A01030</t>
  </si>
  <si>
    <t>JINDRILL</t>
  </si>
  <si>
    <t>INE742C01031</t>
  </si>
  <si>
    <t>JINDWORLD</t>
  </si>
  <si>
    <t>INE247D01039</t>
  </si>
  <si>
    <t>JIYAECO</t>
  </si>
  <si>
    <t>INE023S01016</t>
  </si>
  <si>
    <t>JKCEMENT</t>
  </si>
  <si>
    <t>INE823G01014</t>
  </si>
  <si>
    <t>JKIL</t>
  </si>
  <si>
    <t>INE576I01022</t>
  </si>
  <si>
    <t>JKLAKSHMI</t>
  </si>
  <si>
    <t>INE786A01032</t>
  </si>
  <si>
    <t>JKPAPER</t>
  </si>
  <si>
    <t>INE789E01012</t>
  </si>
  <si>
    <t>JKTYRE</t>
  </si>
  <si>
    <t>INE573A01042</t>
  </si>
  <si>
    <t>JMA</t>
  </si>
  <si>
    <t>INE412C01023</t>
  </si>
  <si>
    <t>JMCPROJECT</t>
  </si>
  <si>
    <t>INE890A01024</t>
  </si>
  <si>
    <t>JMFINANCIL</t>
  </si>
  <si>
    <t>INE780C01023</t>
  </si>
  <si>
    <t>JMTAUTOLTD</t>
  </si>
  <si>
    <t>INE988E01036</t>
  </si>
  <si>
    <t>JOCIL</t>
  </si>
  <si>
    <t>INE839G01010</t>
  </si>
  <si>
    <t>JPASSOCIAT</t>
  </si>
  <si>
    <t>INE455F01025</t>
  </si>
  <si>
    <t>JPINFRATEC</t>
  </si>
  <si>
    <t>INE099J01015</t>
  </si>
  <si>
    <t>JPOLYINVST</t>
  </si>
  <si>
    <t>INE147P01019</t>
  </si>
  <si>
    <t>JPPOWER</t>
  </si>
  <si>
    <t>INE351F01018</t>
  </si>
  <si>
    <t>JSL</t>
  </si>
  <si>
    <t>INE220G01021</t>
  </si>
  <si>
    <t>JSLHISAR</t>
  </si>
  <si>
    <t>INE455T01018</t>
  </si>
  <si>
    <t>JSWENERGY</t>
  </si>
  <si>
    <t>INE121E01018</t>
  </si>
  <si>
    <t>JSWHL</t>
  </si>
  <si>
    <t>INE824G01012</t>
  </si>
  <si>
    <t>JSWSTEEL</t>
  </si>
  <si>
    <t>INE019A01038</t>
  </si>
  <si>
    <t>JTEKTINDIA</t>
  </si>
  <si>
    <t>INE643A01035</t>
  </si>
  <si>
    <t>JUBILANT</t>
  </si>
  <si>
    <t>INE700A01033</t>
  </si>
  <si>
    <t>JUBLFOOD</t>
  </si>
  <si>
    <t>INE797F01012</t>
  </si>
  <si>
    <t>JUBLINDS</t>
  </si>
  <si>
    <t>INE645L01011</t>
  </si>
  <si>
    <t>JUMPNET</t>
  </si>
  <si>
    <t>INE974C01022</t>
  </si>
  <si>
    <t>JUNIORBEES</t>
  </si>
  <si>
    <t>INF732E01045</t>
  </si>
  <si>
    <t>JUSTDIAL</t>
  </si>
  <si>
    <t>INE599M01018</t>
  </si>
  <si>
    <t>JYOTHYLAB</t>
  </si>
  <si>
    <t>INE668F01031</t>
  </si>
  <si>
    <t>KABRAEXTRU</t>
  </si>
  <si>
    <t>INE900B01029</t>
  </si>
  <si>
    <t>KAJARIACER</t>
  </si>
  <si>
    <t>INE217B01036</t>
  </si>
  <si>
    <t>KAKATCEM</t>
  </si>
  <si>
    <t>INE437B01014</t>
  </si>
  <si>
    <t>KALPATPOWR</t>
  </si>
  <si>
    <t>INE220B01022</t>
  </si>
  <si>
    <t>KAMATHOTEL</t>
  </si>
  <si>
    <t>INE967C01018</t>
  </si>
  <si>
    <t>KAMDHENU</t>
  </si>
  <si>
    <t>INE390H01012</t>
  </si>
  <si>
    <t>KANORICHEM</t>
  </si>
  <si>
    <t>INE138C01024</t>
  </si>
  <si>
    <t>KANSAINER</t>
  </si>
  <si>
    <t>INE531A01024</t>
  </si>
  <si>
    <t>KAPSTON</t>
  </si>
  <si>
    <t>INE542Z01010</t>
  </si>
  <si>
    <t>KARMAENG</t>
  </si>
  <si>
    <t>INE725L01011</t>
  </si>
  <si>
    <t>KARURVYSYA</t>
  </si>
  <si>
    <t>INE036D01028</t>
  </si>
  <si>
    <t>KAUSHALYA</t>
  </si>
  <si>
    <t>INE234I01010</t>
  </si>
  <si>
    <t>KAYA</t>
  </si>
  <si>
    <t>INE587G01015</t>
  </si>
  <si>
    <t>KCP</t>
  </si>
  <si>
    <t>INE805C01028</t>
  </si>
  <si>
    <t>KCPSUGIND</t>
  </si>
  <si>
    <t>INE790B01024</t>
  </si>
  <si>
    <t>KDDL</t>
  </si>
  <si>
    <t>INE291D01011</t>
  </si>
  <si>
    <t>KEC</t>
  </si>
  <si>
    <t>INE389H01022</t>
  </si>
  <si>
    <t>KECL</t>
  </si>
  <si>
    <t>INE134B01017</t>
  </si>
  <si>
    <t>KEI</t>
  </si>
  <si>
    <t>INE878B01027</t>
  </si>
  <si>
    <t>KENNAMET</t>
  </si>
  <si>
    <t>INE717A01029</t>
  </si>
  <si>
    <t>KESORAMIND</t>
  </si>
  <si>
    <t>INE087A01019</t>
  </si>
  <si>
    <t>KEYFINSERV</t>
  </si>
  <si>
    <t>INE681C01015</t>
  </si>
  <si>
    <t>KHADIM</t>
  </si>
  <si>
    <t>INE834I01025</t>
  </si>
  <si>
    <t>KHANDSE</t>
  </si>
  <si>
    <t>INE060B01014</t>
  </si>
  <si>
    <t>KICL</t>
  </si>
  <si>
    <t>INE029L01018</t>
  </si>
  <si>
    <t>KILITCH</t>
  </si>
  <si>
    <t>INE729D01010</t>
  </si>
  <si>
    <t>KINGFA</t>
  </si>
  <si>
    <t>INE473D01015</t>
  </si>
  <si>
    <t>KIOCL</t>
  </si>
  <si>
    <t>INE880L01014</t>
  </si>
  <si>
    <t>KIRIINDUS</t>
  </si>
  <si>
    <t>INE415I01015</t>
  </si>
  <si>
    <t>KIRLFER</t>
  </si>
  <si>
    <t>INE884B01025</t>
  </si>
  <si>
    <t>KIRLOSBROS</t>
  </si>
  <si>
    <t>INE732A01036</t>
  </si>
  <si>
    <t>KIRLOSENG</t>
  </si>
  <si>
    <t>INE146L01010</t>
  </si>
  <si>
    <t>KIRLOSIND</t>
  </si>
  <si>
    <t>INE250A01039</t>
  </si>
  <si>
    <t>KITEX</t>
  </si>
  <si>
    <t>INE602G01020</t>
  </si>
  <si>
    <t>KKCL</t>
  </si>
  <si>
    <t>INE401H01017</t>
  </si>
  <si>
    <t>KMSUGAR</t>
  </si>
  <si>
    <t>INE157H01023</t>
  </si>
  <si>
    <t>KNRCON</t>
  </si>
  <si>
    <t>INE634I01029</t>
  </si>
  <si>
    <t>KOKUYOCMLN</t>
  </si>
  <si>
    <t>INE760A01029</t>
  </si>
  <si>
    <t>KOLTEPATIL</t>
  </si>
  <si>
    <t>INE094I01018</t>
  </si>
  <si>
    <t>KOPRAN</t>
  </si>
  <si>
    <t>INE082A01010</t>
  </si>
  <si>
    <t>KOTAKBANK</t>
  </si>
  <si>
    <t>INE237A01028</t>
  </si>
  <si>
    <t>KOTAKBKETF</t>
  </si>
  <si>
    <t>INF174K01F59</t>
  </si>
  <si>
    <t>KOTAKGOLD</t>
  </si>
  <si>
    <t>INF373I01049</t>
  </si>
  <si>
    <t>KOTAKNIFTY</t>
  </si>
  <si>
    <t>INF174K014P6</t>
  </si>
  <si>
    <t>KOTAKNV20</t>
  </si>
  <si>
    <t>INF174K01Z71</t>
  </si>
  <si>
    <t>KOTAKPSUBK</t>
  </si>
  <si>
    <t>INF373I01023</t>
  </si>
  <si>
    <t>KOTARISUG</t>
  </si>
  <si>
    <t>INE419A01022</t>
  </si>
  <si>
    <t>KOTHARIPET</t>
  </si>
  <si>
    <t>INE720A01015</t>
  </si>
  <si>
    <t>KOTHARIPRO</t>
  </si>
  <si>
    <t>INE823A01017</t>
  </si>
  <si>
    <t>KPITTECH</t>
  </si>
  <si>
    <t>INE04I401011</t>
  </si>
  <si>
    <t>KPRMILL</t>
  </si>
  <si>
    <t>INE930H01023</t>
  </si>
  <si>
    <t>KRBL</t>
  </si>
  <si>
    <t>INE001B01026</t>
  </si>
  <si>
    <t>KREBSBIO</t>
  </si>
  <si>
    <t>INE268B01013</t>
  </si>
  <si>
    <t>KSB</t>
  </si>
  <si>
    <t>INE999A01015</t>
  </si>
  <si>
    <t>KSCL</t>
  </si>
  <si>
    <t>INE455I01029</t>
  </si>
  <si>
    <t>KSK</t>
  </si>
  <si>
    <t>INE143H01015</t>
  </si>
  <si>
    <t>KSL</t>
  </si>
  <si>
    <t>INE907A01026</t>
  </si>
  <si>
    <t>KTKBANK</t>
  </si>
  <si>
    <t>INE614B01018</t>
  </si>
  <si>
    <t>KUANTUM</t>
  </si>
  <si>
    <t>INE529I01013</t>
  </si>
  <si>
    <t>KWALITY</t>
  </si>
  <si>
    <t>INE775B01025</t>
  </si>
  <si>
    <t>L&amp;TFH</t>
  </si>
  <si>
    <t>INE498L01015</t>
  </si>
  <si>
    <t>LAKSHVILAS</t>
  </si>
  <si>
    <t>INE694C01018</t>
  </si>
  <si>
    <t>LALPATHLAB</t>
  </si>
  <si>
    <t>INE600L01024</t>
  </si>
  <si>
    <t>LAMBODHARA</t>
  </si>
  <si>
    <t>INE112F01022</t>
  </si>
  <si>
    <t>LAOPALA</t>
  </si>
  <si>
    <t>INE059D01020</t>
  </si>
  <si>
    <t>LASA</t>
  </si>
  <si>
    <t>INE670X01014</t>
  </si>
  <si>
    <t>LAURUSLABS</t>
  </si>
  <si>
    <t>INE947Q01010</t>
  </si>
  <si>
    <t>LAXMIMACH</t>
  </si>
  <si>
    <t>INE269B01029</t>
  </si>
  <si>
    <t>LEMONTREE</t>
  </si>
  <si>
    <t>INE970X01018</t>
  </si>
  <si>
    <t>LFIC</t>
  </si>
  <si>
    <t>INE850E01012</t>
  </si>
  <si>
    <t>LGBBROSLTD</t>
  </si>
  <si>
    <t>INE337A01034</t>
  </si>
  <si>
    <t>LGBFORGE</t>
  </si>
  <si>
    <t>INE201J01017</t>
  </si>
  <si>
    <t>LIBAS</t>
  </si>
  <si>
    <t>INE908V01012</t>
  </si>
  <si>
    <t>LIBERTSHOE</t>
  </si>
  <si>
    <t>INE557B01019</t>
  </si>
  <si>
    <t>LICHSGFIN</t>
  </si>
  <si>
    <t>INE115A01026</t>
  </si>
  <si>
    <t>LICNETFGSC</t>
  </si>
  <si>
    <t>INF767K01MV5</t>
  </si>
  <si>
    <t>LICNETFN50</t>
  </si>
  <si>
    <t>INF767K01OS7</t>
  </si>
  <si>
    <t>LICNFNHGP</t>
  </si>
  <si>
    <t>INF767K01PC8</t>
  </si>
  <si>
    <t>LINCOLN</t>
  </si>
  <si>
    <t>INE405C01035</t>
  </si>
  <si>
    <t>LINCPEN</t>
  </si>
  <si>
    <t>INE802B01019</t>
  </si>
  <si>
    <t>LINDEINDIA</t>
  </si>
  <si>
    <t>INE473A01011</t>
  </si>
  <si>
    <t>LIQUIDBEES</t>
  </si>
  <si>
    <t>INF732E01037</t>
  </si>
  <si>
    <t>LIQUIDETF</t>
  </si>
  <si>
    <t>INF740KA1EU7</t>
  </si>
  <si>
    <t>LOKESHMACH</t>
  </si>
  <si>
    <t>INE397H01017</t>
  </si>
  <si>
    <t>LOTUSEYE</t>
  </si>
  <si>
    <t>INE947I01017</t>
  </si>
  <si>
    <t>LOVABLE</t>
  </si>
  <si>
    <t>INE597L01014</t>
  </si>
  <si>
    <t>LSIL</t>
  </si>
  <si>
    <t>INE093R01011</t>
  </si>
  <si>
    <t>LT</t>
  </si>
  <si>
    <t>INE018A01030</t>
  </si>
  <si>
    <t>LTI</t>
  </si>
  <si>
    <t>INE214T01019</t>
  </si>
  <si>
    <t>LTTS</t>
  </si>
  <si>
    <t>INE010V01017</t>
  </si>
  <si>
    <t>LUMAXIND</t>
  </si>
  <si>
    <t>INE162B01018</t>
  </si>
  <si>
    <t>LUMAXTECH</t>
  </si>
  <si>
    <t>INE872H01027</t>
  </si>
  <si>
    <t>LUPIN</t>
  </si>
  <si>
    <t>INE326A01037</t>
  </si>
  <si>
    <t>LUXIND</t>
  </si>
  <si>
    <t>INE150G01020</t>
  </si>
  <si>
    <t>LYKALABS</t>
  </si>
  <si>
    <t>INE933A01014</t>
  </si>
  <si>
    <t>LYPSAGEMS</t>
  </si>
  <si>
    <t>INE142K01011</t>
  </si>
  <si>
    <t>M&amp;M</t>
  </si>
  <si>
    <t>INE101A01026</t>
  </si>
  <si>
    <t>M&amp;MFIN</t>
  </si>
  <si>
    <t>INE774D01024</t>
  </si>
  <si>
    <t>M100</t>
  </si>
  <si>
    <t>INF247L01023</t>
  </si>
  <si>
    <t>M50</t>
  </si>
  <si>
    <t>INF247L01536</t>
  </si>
  <si>
    <t>MAANALU</t>
  </si>
  <si>
    <t>INE215I01019</t>
  </si>
  <si>
    <t>MADHAV</t>
  </si>
  <si>
    <t>INE925C01016</t>
  </si>
  <si>
    <t>MADRASFERT</t>
  </si>
  <si>
    <t>INE414A01015</t>
  </si>
  <si>
    <t>MAGADSUGAR</t>
  </si>
  <si>
    <t>INE347W01011</t>
  </si>
  <si>
    <t>MAGMA</t>
  </si>
  <si>
    <t>INE511C01022</t>
  </si>
  <si>
    <t>MAGNUM</t>
  </si>
  <si>
    <t>INE387I01016</t>
  </si>
  <si>
    <t>MAHABANK</t>
  </si>
  <si>
    <t>INE457A01014</t>
  </si>
  <si>
    <t>MAHASTEEL</t>
  </si>
  <si>
    <t>INE451L01014</t>
  </si>
  <si>
    <t>MAHEPC</t>
  </si>
  <si>
    <t>INE215D01010</t>
  </si>
  <si>
    <t>MAHESHWARI</t>
  </si>
  <si>
    <t>INE263W01010</t>
  </si>
  <si>
    <t>MAHINDCIE</t>
  </si>
  <si>
    <t>INE536H01010</t>
  </si>
  <si>
    <t>MAHLIFE</t>
  </si>
  <si>
    <t>INE813A01018</t>
  </si>
  <si>
    <t>MAHLOG</t>
  </si>
  <si>
    <t>INE766P01016</t>
  </si>
  <si>
    <t>MAHSCOOTER</t>
  </si>
  <si>
    <t>INE288A01013</t>
  </si>
  <si>
    <t>MAHSEAMLES</t>
  </si>
  <si>
    <t>INE271B01025</t>
  </si>
  <si>
    <t>MAITHANALL</t>
  </si>
  <si>
    <t>INE683C01011</t>
  </si>
  <si>
    <t>MAJESCO</t>
  </si>
  <si>
    <t>INE898S01029</t>
  </si>
  <si>
    <t>MALUPAPER</t>
  </si>
  <si>
    <t>INE383H01017</t>
  </si>
  <si>
    <t>MAN50ETF</t>
  </si>
  <si>
    <t>INF769K01EG9</t>
  </si>
  <si>
    <t>MANAKALUCO</t>
  </si>
  <si>
    <t>INE859Q01017</t>
  </si>
  <si>
    <t>MANAKCOAT</t>
  </si>
  <si>
    <t>INE830Q01018</t>
  </si>
  <si>
    <t>MANAKSIA</t>
  </si>
  <si>
    <t>INE015D01022</t>
  </si>
  <si>
    <t>MANAKSTEEL</t>
  </si>
  <si>
    <t>INE824Q01011</t>
  </si>
  <si>
    <t>MANALIPETC</t>
  </si>
  <si>
    <t>INE201A01024</t>
  </si>
  <si>
    <t>MANAPPURAM</t>
  </si>
  <si>
    <t>INE522D01027</t>
  </si>
  <si>
    <t>MANGCHEFER</t>
  </si>
  <si>
    <t>INE558B01017</t>
  </si>
  <si>
    <t>MANGLMCEM</t>
  </si>
  <si>
    <t>INE347A01017</t>
  </si>
  <si>
    <t>MANGTIMBER</t>
  </si>
  <si>
    <t>INE805B01012</t>
  </si>
  <si>
    <t>MANINDS</t>
  </si>
  <si>
    <t>INE993A01026</t>
  </si>
  <si>
    <t>MANINFRA</t>
  </si>
  <si>
    <t>INE949H01023</t>
  </si>
  <si>
    <t>MANUGRAPH</t>
  </si>
  <si>
    <t>INE867A01022</t>
  </si>
  <si>
    <t>MANXT50</t>
  </si>
  <si>
    <t>INF769K01FN2</t>
  </si>
  <si>
    <t>MARALOVER</t>
  </si>
  <si>
    <t>INE882A01013</t>
  </si>
  <si>
    <t>MARATHON</t>
  </si>
  <si>
    <t>INE182D01020</t>
  </si>
  <si>
    <t>INE196A01026</t>
  </si>
  <si>
    <t>MARKSANS</t>
  </si>
  <si>
    <t>INE750C01026</t>
  </si>
  <si>
    <t>INE585B01010</t>
  </si>
  <si>
    <t>MASFIN</t>
  </si>
  <si>
    <t>INE348L01012</t>
  </si>
  <si>
    <t>MASTEK</t>
  </si>
  <si>
    <t>INE759A01021</t>
  </si>
  <si>
    <t>MATRIMONY</t>
  </si>
  <si>
    <t>INE866R01028</t>
  </si>
  <si>
    <t>MAWANASUG</t>
  </si>
  <si>
    <t>INE636A01039</t>
  </si>
  <si>
    <t>MAXVIL</t>
  </si>
  <si>
    <t>INE154U01015</t>
  </si>
  <si>
    <t>MAYURUNIQ</t>
  </si>
  <si>
    <t>INE040D01038</t>
  </si>
  <si>
    <t>MAZDA</t>
  </si>
  <si>
    <t>INE885E01034</t>
  </si>
  <si>
    <t>MCDHOLDING</t>
  </si>
  <si>
    <t>INE836H01014</t>
  </si>
  <si>
    <t>MCDOWELL-N</t>
  </si>
  <si>
    <t>INE854D01024</t>
  </si>
  <si>
    <t>MCX</t>
  </si>
  <si>
    <t>INE745G01035</t>
  </si>
  <si>
    <t>MEGASOFT</t>
  </si>
  <si>
    <t>INE933B01012</t>
  </si>
  <si>
    <t>MEGH</t>
  </si>
  <si>
    <t>INE974H01013</t>
  </si>
  <si>
    <t>MENONBE</t>
  </si>
  <si>
    <t>INE071D01033</t>
  </si>
  <si>
    <t>METALFORGE</t>
  </si>
  <si>
    <t>INE425A01011</t>
  </si>
  <si>
    <t>METROPOLIS</t>
  </si>
  <si>
    <t>INE112L01020</t>
  </si>
  <si>
    <t>MFSL</t>
  </si>
  <si>
    <t>INE180A01020</t>
  </si>
  <si>
    <t>MGL</t>
  </si>
  <si>
    <t>INE002S01010</t>
  </si>
  <si>
    <t>MHRIL</t>
  </si>
  <si>
    <t>INE998I01010</t>
  </si>
  <si>
    <t>MIC</t>
  </si>
  <si>
    <t>INE287C01029</t>
  </si>
  <si>
    <t>MIDHANI</t>
  </si>
  <si>
    <t>INE099Z01011</t>
  </si>
  <si>
    <t>MINDACORP</t>
  </si>
  <si>
    <t>INE842C01021</t>
  </si>
  <si>
    <t>MINDAIND</t>
  </si>
  <si>
    <t>INE405E01023</t>
  </si>
  <si>
    <t>MINDTECK</t>
  </si>
  <si>
    <t>INE110B01017</t>
  </si>
  <si>
    <t>MINDTREE</t>
  </si>
  <si>
    <t>INE018I01017</t>
  </si>
  <si>
    <t>MIRCELECTR</t>
  </si>
  <si>
    <t>INE831A01028</t>
  </si>
  <si>
    <t>MIRZAINT</t>
  </si>
  <si>
    <t>INE771A01026</t>
  </si>
  <si>
    <t>MITTAL</t>
  </si>
  <si>
    <t>INE997Y01019</t>
  </si>
  <si>
    <t>MMFL</t>
  </si>
  <si>
    <t>INE227C01017</t>
  </si>
  <si>
    <t>MMP</t>
  </si>
  <si>
    <t>INE511Y01018</t>
  </si>
  <si>
    <t>MMTC</t>
  </si>
  <si>
    <t>INE123F01029</t>
  </si>
  <si>
    <t>MOHOTAIND</t>
  </si>
  <si>
    <t>INE313D01013</t>
  </si>
  <si>
    <t>MOIL</t>
  </si>
  <si>
    <t>INE490G01020</t>
  </si>
  <si>
    <t>MOLDTECH</t>
  </si>
  <si>
    <t>INE835B01035</t>
  </si>
  <si>
    <t>MOLDTKPAC</t>
  </si>
  <si>
    <t>INE893J01029</t>
  </si>
  <si>
    <t>MONTECARLO</t>
  </si>
  <si>
    <t>INE950M01013</t>
  </si>
  <si>
    <t>MORARJEE</t>
  </si>
  <si>
    <t>INE161G01027</t>
  </si>
  <si>
    <t>MOREPENLAB</t>
  </si>
  <si>
    <t>INE083A01026</t>
  </si>
  <si>
    <t>INE775A01035</t>
  </si>
  <si>
    <t>MOTILALOFS</t>
  </si>
  <si>
    <t>INE338I01027</t>
  </si>
  <si>
    <t>MOTOGENFIN</t>
  </si>
  <si>
    <t>INE861B01015</t>
  </si>
  <si>
    <t>MPHASIS</t>
  </si>
  <si>
    <t>INE356A01018</t>
  </si>
  <si>
    <t>MPSLTD</t>
  </si>
  <si>
    <t>INE943D01017</t>
  </si>
  <si>
    <t>MRF</t>
  </si>
  <si>
    <t>INE883A01011</t>
  </si>
  <si>
    <t>MRO-TEK</t>
  </si>
  <si>
    <t>INE398B01018</t>
  </si>
  <si>
    <t>MRPL</t>
  </si>
  <si>
    <t>INE103A01014</t>
  </si>
  <si>
    <t>MSPL</t>
  </si>
  <si>
    <t>INE752G01015</t>
  </si>
  <si>
    <t>MSTCLTD</t>
  </si>
  <si>
    <t>INE255X01014</t>
  </si>
  <si>
    <t>MTEDUCARE</t>
  </si>
  <si>
    <t>INE472M01018</t>
  </si>
  <si>
    <t>MTNL</t>
  </si>
  <si>
    <t>INE153A01019</t>
  </si>
  <si>
    <t>MUKANDENGG</t>
  </si>
  <si>
    <t>INE022B01014</t>
  </si>
  <si>
    <t>MUKANDLTD</t>
  </si>
  <si>
    <t>INE304A01026</t>
  </si>
  <si>
    <t>MUKTAARTS</t>
  </si>
  <si>
    <t>INE374B01019</t>
  </si>
  <si>
    <t>MUNJALAU</t>
  </si>
  <si>
    <t>INE672B01032</t>
  </si>
  <si>
    <t>MUNJALSHOW</t>
  </si>
  <si>
    <t>INE577A01027</t>
  </si>
  <si>
    <t>MURUDCERA</t>
  </si>
  <si>
    <t>INE692B01014</t>
  </si>
  <si>
    <t>MUTHOOTCAP</t>
  </si>
  <si>
    <t>INE296G01013</t>
  </si>
  <si>
    <t>MUTHOOTFIN</t>
  </si>
  <si>
    <t>INE414G01012</t>
  </si>
  <si>
    <t>N100</t>
  </si>
  <si>
    <t>INF247L01031</t>
  </si>
  <si>
    <t>NACLIND</t>
  </si>
  <si>
    <t>INE295D01020</t>
  </si>
  <si>
    <t>NAGAFERT</t>
  </si>
  <si>
    <t>INE454M01024</t>
  </si>
  <si>
    <t>NAGREEKEXP</t>
  </si>
  <si>
    <t>INE123B01028</t>
  </si>
  <si>
    <t>NAHARCAP</t>
  </si>
  <si>
    <t>INE049I01012</t>
  </si>
  <si>
    <t>NAHARINDUS</t>
  </si>
  <si>
    <t>INE289A01011</t>
  </si>
  <si>
    <t>NAHARPOLY</t>
  </si>
  <si>
    <t>INE308A01027</t>
  </si>
  <si>
    <t>NAHARSPING</t>
  </si>
  <si>
    <t>INE290A01027</t>
  </si>
  <si>
    <t>NAM-INDIA</t>
  </si>
  <si>
    <t>INE298J01013</t>
  </si>
  <si>
    <t>NATCOPHARM</t>
  </si>
  <si>
    <t>INE987B01026</t>
  </si>
  <si>
    <t>NATHBIOGEN</t>
  </si>
  <si>
    <t>INE448G01010</t>
  </si>
  <si>
    <t>NATIONALUM</t>
  </si>
  <si>
    <t>INE139A01034</t>
  </si>
  <si>
    <t>NATNLSTEEL</t>
  </si>
  <si>
    <t>INE088B01015</t>
  </si>
  <si>
    <t>NAUKRI</t>
  </si>
  <si>
    <t>INE663F01024</t>
  </si>
  <si>
    <t>NAVINFLUOR</t>
  </si>
  <si>
    <t>INE048G01026</t>
  </si>
  <si>
    <t>NAVKARCORP</t>
  </si>
  <si>
    <t>INE278M01019</t>
  </si>
  <si>
    <t>NAVNETEDUL</t>
  </si>
  <si>
    <t>INE060A01024</t>
  </si>
  <si>
    <t>NBCC</t>
  </si>
  <si>
    <t>INE095N01031</t>
  </si>
  <si>
    <t>NBIFIN</t>
  </si>
  <si>
    <t>INE365I01020</t>
  </si>
  <si>
    <t>NBVENTURES</t>
  </si>
  <si>
    <t>INE725A01022</t>
  </si>
  <si>
    <t>NCC</t>
  </si>
  <si>
    <t>INE868B01028</t>
  </si>
  <si>
    <t>NCLIND</t>
  </si>
  <si>
    <t>INE732C01016</t>
  </si>
  <si>
    <t>NDGL</t>
  </si>
  <si>
    <t>INE756C01015</t>
  </si>
  <si>
    <t>NDL</t>
  </si>
  <si>
    <t>INE875G01030</t>
  </si>
  <si>
    <t>NECCLTD</t>
  </si>
  <si>
    <t>INE553C01016</t>
  </si>
  <si>
    <t>NECLIFE</t>
  </si>
  <si>
    <t>INE023H01027</t>
  </si>
  <si>
    <t>NELCAST</t>
  </si>
  <si>
    <t>INE189I01024</t>
  </si>
  <si>
    <t>NELCO</t>
  </si>
  <si>
    <t>INE045B01015</t>
  </si>
  <si>
    <t>NEOGEN</t>
  </si>
  <si>
    <t>INE136S01016</t>
  </si>
  <si>
    <t>NESCO</t>
  </si>
  <si>
    <t>INE317F01035</t>
  </si>
  <si>
    <t>NESTLEIND</t>
  </si>
  <si>
    <t>INE239A01016</t>
  </si>
  <si>
    <t>NETF</t>
  </si>
  <si>
    <t>INF277K015R5</t>
  </si>
  <si>
    <t>NETFCONSUM</t>
  </si>
  <si>
    <t>INF204KA1LD7</t>
  </si>
  <si>
    <t>NETFDIVOPP</t>
  </si>
  <si>
    <t>INF204KA1MS3</t>
  </si>
  <si>
    <t>NETFLTGILT</t>
  </si>
  <si>
    <t>INF204KB1882</t>
  </si>
  <si>
    <t>NETFMID150</t>
  </si>
  <si>
    <t>INF204KB1V68</t>
  </si>
  <si>
    <t>NETFNIF100</t>
  </si>
  <si>
    <t>INF204K014N5</t>
  </si>
  <si>
    <t>NETFNV20</t>
  </si>
  <si>
    <t>INF204KB18I3</t>
  </si>
  <si>
    <t>NETWORK18</t>
  </si>
  <si>
    <t>INE870H01013</t>
  </si>
  <si>
    <t>NEULANDLAB</t>
  </si>
  <si>
    <t>INE794A01010</t>
  </si>
  <si>
    <t>NEWGEN</t>
  </si>
  <si>
    <t>INE619B01017</t>
  </si>
  <si>
    <t>NFL</t>
  </si>
  <si>
    <t>INE870D01012</t>
  </si>
  <si>
    <t>INE410P01011</t>
  </si>
  <si>
    <t>NHPC</t>
  </si>
  <si>
    <t>INE848E01016</t>
  </si>
  <si>
    <t>NIACL</t>
  </si>
  <si>
    <t>INE470Y01017</t>
  </si>
  <si>
    <t>NIBL</t>
  </si>
  <si>
    <t>INE047O01014</t>
  </si>
  <si>
    <t>INF204KB14I2</t>
  </si>
  <si>
    <t>NIFTYEES</t>
  </si>
  <si>
    <t>INF754K01EK3</t>
  </si>
  <si>
    <t>NIITLTD</t>
  </si>
  <si>
    <t>INE161A01038</t>
  </si>
  <si>
    <t>NIITTECH</t>
  </si>
  <si>
    <t>INE591G01017</t>
  </si>
  <si>
    <t>NILAINFRA</t>
  </si>
  <si>
    <t>INE937C01029</t>
  </si>
  <si>
    <t>NILASPACES</t>
  </si>
  <si>
    <t>INE00S901012</t>
  </si>
  <si>
    <t>NILKAMAL</t>
  </si>
  <si>
    <t>INE310A01015</t>
  </si>
  <si>
    <t>NIPPOBATRY</t>
  </si>
  <si>
    <t>INE567A01010</t>
  </si>
  <si>
    <t>NITCO</t>
  </si>
  <si>
    <t>INE858F01012</t>
  </si>
  <si>
    <t>NITINSPIN</t>
  </si>
  <si>
    <t>INE229H01012</t>
  </si>
  <si>
    <t>NLCINDIA</t>
  </si>
  <si>
    <t>INE589A01014</t>
  </si>
  <si>
    <t>NMDC</t>
  </si>
  <si>
    <t>INE584A01023</t>
  </si>
  <si>
    <t>NOCIL</t>
  </si>
  <si>
    <t>INE163A01018</t>
  </si>
  <si>
    <t>NOIDATOLL</t>
  </si>
  <si>
    <t>INE781B01015</t>
  </si>
  <si>
    <t>NPBET</t>
  </si>
  <si>
    <t>INF277K010X4</t>
  </si>
  <si>
    <t>NRAIL</t>
  </si>
  <si>
    <t>INE740D01017</t>
  </si>
  <si>
    <t>NRBBEARING</t>
  </si>
  <si>
    <t>INE349A01021</t>
  </si>
  <si>
    <t>NSIL</t>
  </si>
  <si>
    <t>INE023A01030</t>
  </si>
  <si>
    <t>NTPC</t>
  </si>
  <si>
    <t>INE733E01010</t>
  </si>
  <si>
    <t>NUCLEUS</t>
  </si>
  <si>
    <t>INE096B01018</t>
  </si>
  <si>
    <t>NXTDIGITAL</t>
  </si>
  <si>
    <t>INE353A01023</t>
  </si>
  <si>
    <t>OAL</t>
  </si>
  <si>
    <t>INE959C01023</t>
  </si>
  <si>
    <t>INE093I01010</t>
  </si>
  <si>
    <t>OCCL</t>
  </si>
  <si>
    <t>INE321D01016</t>
  </si>
  <si>
    <t>OFSS</t>
  </si>
  <si>
    <t>INE881D01027</t>
  </si>
  <si>
    <t>OIL</t>
  </si>
  <si>
    <t>INE274J01014</t>
  </si>
  <si>
    <t>OILCOUNTUB</t>
  </si>
  <si>
    <t>INE591A01010</t>
  </si>
  <si>
    <t>OISL</t>
  </si>
  <si>
    <t>INE196J01019</t>
  </si>
  <si>
    <t>OLECTRA</t>
  </si>
  <si>
    <t>INE260D01016</t>
  </si>
  <si>
    <t>OMAXAUTO</t>
  </si>
  <si>
    <t>INE090B01011</t>
  </si>
  <si>
    <t>OMAXE</t>
  </si>
  <si>
    <t>INE800H01010</t>
  </si>
  <si>
    <t>OMMETALS</t>
  </si>
  <si>
    <t>INE239D01028</t>
  </si>
  <si>
    <t>ONELIFECAP</t>
  </si>
  <si>
    <t>INE912L01015</t>
  </si>
  <si>
    <t>ONEPOINT</t>
  </si>
  <si>
    <t>INE840Y01011</t>
  </si>
  <si>
    <t>ONGC</t>
  </si>
  <si>
    <t>INE213A01029</t>
  </si>
  <si>
    <t>ONMOBILE</t>
  </si>
  <si>
    <t>INE809I01019</t>
  </si>
  <si>
    <t>ONWARDTEC</t>
  </si>
  <si>
    <t>INE229A01017</t>
  </si>
  <si>
    <t>ORBTEXP</t>
  </si>
  <si>
    <t>INE231G01010</t>
  </si>
  <si>
    <t>ORICONENT</t>
  </si>
  <si>
    <t>INE730A01022</t>
  </si>
  <si>
    <t>ORIENTABRA</t>
  </si>
  <si>
    <t>INE569C01020</t>
  </si>
  <si>
    <t>ORIENTALTL</t>
  </si>
  <si>
    <t>INE998H01012</t>
  </si>
  <si>
    <t>ORIENTBELL</t>
  </si>
  <si>
    <t>INE607D01018</t>
  </si>
  <si>
    <t>ORIENTCEM</t>
  </si>
  <si>
    <t>INE876N01018</t>
  </si>
  <si>
    <t>ORIENTELEC</t>
  </si>
  <si>
    <t>INE142Z01019</t>
  </si>
  <si>
    <t>ORIENTHOT</t>
  </si>
  <si>
    <t>INE750A01020</t>
  </si>
  <si>
    <t>ORIENTLTD</t>
  </si>
  <si>
    <t>INE609C01024</t>
  </si>
  <si>
    <t>ORIENTPPR</t>
  </si>
  <si>
    <t>INE592A01026</t>
  </si>
  <si>
    <t>ORIENTREF</t>
  </si>
  <si>
    <t>INE743M01012</t>
  </si>
  <si>
    <t>ORISSAMINE</t>
  </si>
  <si>
    <t>INE725E01024</t>
  </si>
  <si>
    <t>ORTINLABSS</t>
  </si>
  <si>
    <t>INE749B01012</t>
  </si>
  <si>
    <t>OSWALAGRO</t>
  </si>
  <si>
    <t>INE142A01012</t>
  </si>
  <si>
    <t>PAEL</t>
  </si>
  <si>
    <t>INE766A01018</t>
  </si>
  <si>
    <t>PAGEIND</t>
  </si>
  <si>
    <t>INE761H01022</t>
  </si>
  <si>
    <t>PAISALO</t>
  </si>
  <si>
    <t>INE420C01042</t>
  </si>
  <si>
    <t>PALASHSECU</t>
  </si>
  <si>
    <t>INE471W01019</t>
  </si>
  <si>
    <t>PALREDTEC</t>
  </si>
  <si>
    <t>INE218G01033</t>
  </si>
  <si>
    <t>PANACEABIO</t>
  </si>
  <si>
    <t>INE922B01023</t>
  </si>
  <si>
    <t>PANACHE</t>
  </si>
  <si>
    <t>INE895W01019</t>
  </si>
  <si>
    <t>PANAMAPET</t>
  </si>
  <si>
    <t>INE305C01029</t>
  </si>
  <si>
    <t>PAPERPROD</t>
  </si>
  <si>
    <t>INE275B01026</t>
  </si>
  <si>
    <t>PARACABLES</t>
  </si>
  <si>
    <t>INE074B01023</t>
  </si>
  <si>
    <t>PARAGMILK</t>
  </si>
  <si>
    <t>INE883N01014</t>
  </si>
  <si>
    <t>PATELENG</t>
  </si>
  <si>
    <t>INE244B01030</t>
  </si>
  <si>
    <t>PATINTLOG</t>
  </si>
  <si>
    <t>INE529D01014</t>
  </si>
  <si>
    <t>PATSPINLTD</t>
  </si>
  <si>
    <t>INE790C01014</t>
  </si>
  <si>
    <t>PCJEWELLER</t>
  </si>
  <si>
    <t>INE785M01013</t>
  </si>
  <si>
    <t>PDMJEPAPER</t>
  </si>
  <si>
    <t>INE865T01018</t>
  </si>
  <si>
    <t>PDSMFL</t>
  </si>
  <si>
    <t>INE111Q01013</t>
  </si>
  <si>
    <t>PEARLPOLY</t>
  </si>
  <si>
    <t>INE844A01013</t>
  </si>
  <si>
    <t>PEL</t>
  </si>
  <si>
    <t>INE140A01024</t>
  </si>
  <si>
    <t>PENIND</t>
  </si>
  <si>
    <t>INE932A01024</t>
  </si>
  <si>
    <t>PENINLAND</t>
  </si>
  <si>
    <t>INE138A01028</t>
  </si>
  <si>
    <t>PERSISTENT</t>
  </si>
  <si>
    <t>INE262H01013</t>
  </si>
  <si>
    <t>PETRONET</t>
  </si>
  <si>
    <t>INE347G01014</t>
  </si>
  <si>
    <t>PFC</t>
  </si>
  <si>
    <t>INE134E01011</t>
  </si>
  <si>
    <t>PFIZER</t>
  </si>
  <si>
    <t>INE182A01018</t>
  </si>
  <si>
    <t>PFOCUS</t>
  </si>
  <si>
    <t>INE367G01038</t>
  </si>
  <si>
    <t>PFS</t>
  </si>
  <si>
    <t>INE560K01014</t>
  </si>
  <si>
    <t>PGEL</t>
  </si>
  <si>
    <t>INE457L01011</t>
  </si>
  <si>
    <t>PGHH</t>
  </si>
  <si>
    <t>INE179A01014</t>
  </si>
  <si>
    <t>PGHL</t>
  </si>
  <si>
    <t>INE199A01012</t>
  </si>
  <si>
    <t>PGIL</t>
  </si>
  <si>
    <t>INE940H01014</t>
  </si>
  <si>
    <t>PHILIPCARB</t>
  </si>
  <si>
    <t>INE602A01023</t>
  </si>
  <si>
    <t>PHOENIXLTD</t>
  </si>
  <si>
    <t>INE211B01039</t>
  </si>
  <si>
    <t>INE318A01026</t>
  </si>
  <si>
    <t>PIIND</t>
  </si>
  <si>
    <t>INE603J01030</t>
  </si>
  <si>
    <t>PILANIINVS</t>
  </si>
  <si>
    <t>INE417C01014</t>
  </si>
  <si>
    <t>PILITA</t>
  </si>
  <si>
    <t>INE600A01035</t>
  </si>
  <si>
    <t>PIONDIST</t>
  </si>
  <si>
    <t>INE889E01010</t>
  </si>
  <si>
    <t>PIONEEREMB</t>
  </si>
  <si>
    <t>INE156C01018</t>
  </si>
  <si>
    <t>PITTIENG</t>
  </si>
  <si>
    <t>INE450D01021</t>
  </si>
  <si>
    <t>PLASTIBLEN</t>
  </si>
  <si>
    <t>INE083C01022</t>
  </si>
  <si>
    <t>PNB</t>
  </si>
  <si>
    <t>INE160A01022</t>
  </si>
  <si>
    <t>PNBGILTS</t>
  </si>
  <si>
    <t>INE859A01011</t>
  </si>
  <si>
    <t>PNBHOUSING</t>
  </si>
  <si>
    <t>INE572E01012</t>
  </si>
  <si>
    <t>PNC</t>
  </si>
  <si>
    <t>INE392B01011</t>
  </si>
  <si>
    <t>PNCINFRA</t>
  </si>
  <si>
    <t>INE195J01029</t>
  </si>
  <si>
    <t>PODDARHOUS</t>
  </si>
  <si>
    <t>INE888B01018</t>
  </si>
  <si>
    <t>PODDARMENT</t>
  </si>
  <si>
    <t>INE371C01013</t>
  </si>
  <si>
    <t>POLYCAB</t>
  </si>
  <si>
    <t>INE455K01017</t>
  </si>
  <si>
    <t>POLYMED</t>
  </si>
  <si>
    <t>INE205C01021</t>
  </si>
  <si>
    <t>POLYPLEX</t>
  </si>
  <si>
    <t>INE633B01018</t>
  </si>
  <si>
    <t>PONNIERODE</t>
  </si>
  <si>
    <t>INE838E01017</t>
  </si>
  <si>
    <t>POWERGRID</t>
  </si>
  <si>
    <t>INE752E01010</t>
  </si>
  <si>
    <t>POWERINDIA</t>
  </si>
  <si>
    <t>INE07Y701011</t>
  </si>
  <si>
    <t>POWERMECH</t>
  </si>
  <si>
    <t>INE211R01019</t>
  </si>
  <si>
    <t>PPAP</t>
  </si>
  <si>
    <t>INE095I01015</t>
  </si>
  <si>
    <t>PPL</t>
  </si>
  <si>
    <t>INE050001010</t>
  </si>
  <si>
    <t>PRABHAT</t>
  </si>
  <si>
    <t>INE302M01033</t>
  </si>
  <si>
    <t>PRADIP</t>
  </si>
  <si>
    <t>INE495J01015</t>
  </si>
  <si>
    <t>PRAENG</t>
  </si>
  <si>
    <t>INE505C01016</t>
  </si>
  <si>
    <t>PRAJIND</t>
  </si>
  <si>
    <t>INE074A01025</t>
  </si>
  <si>
    <t>PRAKASH</t>
  </si>
  <si>
    <t>INE603A01013</t>
  </si>
  <si>
    <t>PRAXIS</t>
  </si>
  <si>
    <t>INE546Y01022</t>
  </si>
  <si>
    <t>PRECAM</t>
  </si>
  <si>
    <t>INE484I01029</t>
  </si>
  <si>
    <t>PRECOT</t>
  </si>
  <si>
    <t>INE283A01014</t>
  </si>
  <si>
    <t>PRECWIRE</t>
  </si>
  <si>
    <t>INE372C01029</t>
  </si>
  <si>
    <t>PREMEXPLN</t>
  </si>
  <si>
    <t>INE863B01011</t>
  </si>
  <si>
    <t>PREMIERPOL</t>
  </si>
  <si>
    <t>INE309M01012</t>
  </si>
  <si>
    <t>PRESSMN</t>
  </si>
  <si>
    <t>INE980A01023</t>
  </si>
  <si>
    <t>PRESTIGE</t>
  </si>
  <si>
    <t>INE811K01011</t>
  </si>
  <si>
    <t>PRICOLLTD</t>
  </si>
  <si>
    <t>INE726V01018</t>
  </si>
  <si>
    <t>PRIMESECU</t>
  </si>
  <si>
    <t>INE032B01021</t>
  </si>
  <si>
    <t>PRINCEPIPE</t>
  </si>
  <si>
    <t>INE689W01016</t>
  </si>
  <si>
    <t>PROSEED</t>
  </si>
  <si>
    <t>INE217G01027</t>
  </si>
  <si>
    <t>PROZONINTU</t>
  </si>
  <si>
    <t>INE195N01013</t>
  </si>
  <si>
    <t>PRSMJOHNSN</t>
  </si>
  <si>
    <t>INE010A01011</t>
  </si>
  <si>
    <t>PSB</t>
  </si>
  <si>
    <t>INE608A01012</t>
  </si>
  <si>
    <t>PSPPROJECT</t>
  </si>
  <si>
    <t>INE488V01015</t>
  </si>
  <si>
    <t>PSUBNKBEES</t>
  </si>
  <si>
    <t>INF204KB16I7</t>
  </si>
  <si>
    <t>PTC</t>
  </si>
  <si>
    <t>INE877F01012</t>
  </si>
  <si>
    <t>PTL</t>
  </si>
  <si>
    <t>INE034D01031</t>
  </si>
  <si>
    <t>PUNJABCHEM</t>
  </si>
  <si>
    <t>INE277B01014</t>
  </si>
  <si>
    <t>PURVA</t>
  </si>
  <si>
    <t>INE323I01011</t>
  </si>
  <si>
    <t>PVR</t>
  </si>
  <si>
    <t>INE191H01014</t>
  </si>
  <si>
    <t>QGOLDHALF</t>
  </si>
  <si>
    <t>INF082J01010</t>
  </si>
  <si>
    <t>QNIFTY</t>
  </si>
  <si>
    <t>INF082J01028</t>
  </si>
  <si>
    <t>QUESS</t>
  </si>
  <si>
    <t>INE615P01015</t>
  </si>
  <si>
    <t>QUICKHEAL</t>
  </si>
  <si>
    <t>INE306L01010</t>
  </si>
  <si>
    <t>RADAAN</t>
  </si>
  <si>
    <t>INE874F01027</t>
  </si>
  <si>
    <t>RADICO</t>
  </si>
  <si>
    <t>INE944F01028</t>
  </si>
  <si>
    <t>RADIOCITY</t>
  </si>
  <si>
    <t>INE919I01024</t>
  </si>
  <si>
    <t>RAIN</t>
  </si>
  <si>
    <t>INE855B01025</t>
  </si>
  <si>
    <t>RAJESHEXPO</t>
  </si>
  <si>
    <t>INE343B01030</t>
  </si>
  <si>
    <t>RAJRATAN</t>
  </si>
  <si>
    <t>INE451D01011</t>
  </si>
  <si>
    <t>RAJSREESUG</t>
  </si>
  <si>
    <t>INE562B01019</t>
  </si>
  <si>
    <t>RAJTV</t>
  </si>
  <si>
    <t>INE952H01027</t>
  </si>
  <si>
    <t>RALLIS</t>
  </si>
  <si>
    <t>INE613A01020</t>
  </si>
  <si>
    <t>RAMANEWS</t>
  </si>
  <si>
    <t>INE278B01020</t>
  </si>
  <si>
    <t>RAMASTEEL</t>
  </si>
  <si>
    <t>INE230R01027</t>
  </si>
  <si>
    <t>RAMCOCEM</t>
  </si>
  <si>
    <t>INE331A01037</t>
  </si>
  <si>
    <t>RAMCOIND</t>
  </si>
  <si>
    <t>INE614A01028</t>
  </si>
  <si>
    <t>RAMCOSYS</t>
  </si>
  <si>
    <t>INE246B01019</t>
  </si>
  <si>
    <t>RAMKY</t>
  </si>
  <si>
    <t>INE874I01013</t>
  </si>
  <si>
    <t>RANASUG</t>
  </si>
  <si>
    <t>INE625B01014</t>
  </si>
  <si>
    <t>RANEENGINE</t>
  </si>
  <si>
    <t>INE222J01013</t>
  </si>
  <si>
    <t>RANEHOLDIN</t>
  </si>
  <si>
    <t>INE384A01010</t>
  </si>
  <si>
    <t>RATNAMANI</t>
  </si>
  <si>
    <t>INE703B01027</t>
  </si>
  <si>
    <t>RAYMOND</t>
  </si>
  <si>
    <t>INE301A01014</t>
  </si>
  <si>
    <t>RBL</t>
  </si>
  <si>
    <t>INE244J01017</t>
  </si>
  <si>
    <t>RBLBANK</t>
  </si>
  <si>
    <t>INE976G01028</t>
  </si>
  <si>
    <t>RCF</t>
  </si>
  <si>
    <t>INE027A01015</t>
  </si>
  <si>
    <t>RECLTD</t>
  </si>
  <si>
    <t>INE020B01018</t>
  </si>
  <si>
    <t>REDINGTON</t>
  </si>
  <si>
    <t>INE891D01026</t>
  </si>
  <si>
    <t>REFEX</t>
  </si>
  <si>
    <t>INE056I01017</t>
  </si>
  <si>
    <t>RELAXO</t>
  </si>
  <si>
    <t>INE131B01039</t>
  </si>
  <si>
    <t>RELIANCE</t>
  </si>
  <si>
    <t>INE002A01018</t>
  </si>
  <si>
    <t>RELIGARE</t>
  </si>
  <si>
    <t>INE621H01010</t>
  </si>
  <si>
    <t>RELINFRA</t>
  </si>
  <si>
    <t>INE036A01016</t>
  </si>
  <si>
    <t>REMSONSIND</t>
  </si>
  <si>
    <t>INE474C01015</t>
  </si>
  <si>
    <t>RENUKA</t>
  </si>
  <si>
    <t>INE087H01022</t>
  </si>
  <si>
    <t>REPCOHOME</t>
  </si>
  <si>
    <t>INE612J01015</t>
  </si>
  <si>
    <t>REPRO</t>
  </si>
  <si>
    <t>INE461B01014</t>
  </si>
  <si>
    <t>RESPONIND</t>
  </si>
  <si>
    <t>INE688D01026</t>
  </si>
  <si>
    <t>REVATHI</t>
  </si>
  <si>
    <t>INE617A01013</t>
  </si>
  <si>
    <t>RGL</t>
  </si>
  <si>
    <t>INE722H01016</t>
  </si>
  <si>
    <t>RICOAUTO</t>
  </si>
  <si>
    <t>INE209B01025</t>
  </si>
  <si>
    <t>RIIL</t>
  </si>
  <si>
    <t>INE046A01015</t>
  </si>
  <si>
    <t>RITES</t>
  </si>
  <si>
    <t>INE320J01015</t>
  </si>
  <si>
    <t>RKDL</t>
  </si>
  <si>
    <t>INE722J01012</t>
  </si>
  <si>
    <t>RKFORGE</t>
  </si>
  <si>
    <t>INE399G01015</t>
  </si>
  <si>
    <t>RML</t>
  </si>
  <si>
    <t>INE050H01012</t>
  </si>
  <si>
    <t>RNAVAL</t>
  </si>
  <si>
    <t>INE542F01012</t>
  </si>
  <si>
    <t>ROHITFERRO</t>
  </si>
  <si>
    <t>INE248H01012</t>
  </si>
  <si>
    <t>ROHLTD</t>
  </si>
  <si>
    <t>INE283H01019</t>
  </si>
  <si>
    <t>ROLTA</t>
  </si>
  <si>
    <t>INE293A01013</t>
  </si>
  <si>
    <t>ROSSELLIND</t>
  </si>
  <si>
    <t>INE847C01020</t>
  </si>
  <si>
    <t>RPGLIFE</t>
  </si>
  <si>
    <t>INE105J01010</t>
  </si>
  <si>
    <t>RPOWER</t>
  </si>
  <si>
    <t>INE614G01033</t>
  </si>
  <si>
    <t>RPPINFRA</t>
  </si>
  <si>
    <t>INE324L01013</t>
  </si>
  <si>
    <t>RSSOFTWARE</t>
  </si>
  <si>
    <t>INE165B01029</t>
  </si>
  <si>
    <t>RSWM</t>
  </si>
  <si>
    <t>INE611A01016</t>
  </si>
  <si>
    <t>RSYSTEMS</t>
  </si>
  <si>
    <t>INE411H01032</t>
  </si>
  <si>
    <t>RTNINFRA</t>
  </si>
  <si>
    <t>INE834M01019</t>
  </si>
  <si>
    <t>RTNPOWER</t>
  </si>
  <si>
    <t>INE399K01017</t>
  </si>
  <si>
    <t>RUBYMILLS</t>
  </si>
  <si>
    <t>INE301D01026</t>
  </si>
  <si>
    <t>RUCHIRA</t>
  </si>
  <si>
    <t>INE803H01014</t>
  </si>
  <si>
    <t>RUPA</t>
  </si>
  <si>
    <t>INE895B01021</t>
  </si>
  <si>
    <t>RUSHIL</t>
  </si>
  <si>
    <t>INE573K01017</t>
  </si>
  <si>
    <t>RVNL</t>
  </si>
  <si>
    <t>INE415G01027</t>
  </si>
  <si>
    <t>SADBHAV</t>
  </si>
  <si>
    <t>INE226H01026</t>
  </si>
  <si>
    <t>SADBHIN</t>
  </si>
  <si>
    <t>INE764L01010</t>
  </si>
  <si>
    <t>SAFARI</t>
  </si>
  <si>
    <t>INE429E01023</t>
  </si>
  <si>
    <t>SAGARDEEP</t>
  </si>
  <si>
    <t>INE976T01013</t>
  </si>
  <si>
    <t>SAGCEM</t>
  </si>
  <si>
    <t>INE229C01013</t>
  </si>
  <si>
    <t>SAIL</t>
  </si>
  <si>
    <t>INE114A01011</t>
  </si>
  <si>
    <t>SAKAR</t>
  </si>
  <si>
    <t>INE732S01012</t>
  </si>
  <si>
    <t>SAKHTISUG</t>
  </si>
  <si>
    <t>INE623A01011</t>
  </si>
  <si>
    <t>SAKSOFT</t>
  </si>
  <si>
    <t>INE667G01015</t>
  </si>
  <si>
    <t>SALONA</t>
  </si>
  <si>
    <t>INE498E01010</t>
  </si>
  <si>
    <t>SALZERELEC</t>
  </si>
  <si>
    <t>INE457F01013</t>
  </si>
  <si>
    <t>SAMBHAAV</t>
  </si>
  <si>
    <t>INE699B01027</t>
  </si>
  <si>
    <t>SANCO</t>
  </si>
  <si>
    <t>INE782L01012</t>
  </si>
  <si>
    <t>SANDESH</t>
  </si>
  <si>
    <t>INE583B01015</t>
  </si>
  <si>
    <t>SANDHAR</t>
  </si>
  <si>
    <t>INE278H01035</t>
  </si>
  <si>
    <t>SANGAMIND</t>
  </si>
  <si>
    <t>INE495C01010</t>
  </si>
  <si>
    <t>SANGHIIND</t>
  </si>
  <si>
    <t>INE999B01013</t>
  </si>
  <si>
    <t>SANGHVIFOR</t>
  </si>
  <si>
    <t>INE263L01013</t>
  </si>
  <si>
    <t>SANGHVIMOV</t>
  </si>
  <si>
    <t>INE989A01024</t>
  </si>
  <si>
    <t>SANGINITA</t>
  </si>
  <si>
    <t>INE753W01010</t>
  </si>
  <si>
    <t>SANOFI</t>
  </si>
  <si>
    <t>INE058A01010</t>
  </si>
  <si>
    <t>SARDAEN</t>
  </si>
  <si>
    <t>INE385C01013</t>
  </si>
  <si>
    <t>SAREGAMA</t>
  </si>
  <si>
    <t>INE979A01017</t>
  </si>
  <si>
    <t>SARLAPOLY</t>
  </si>
  <si>
    <t>INE453D01025</t>
  </si>
  <si>
    <t>SASKEN</t>
  </si>
  <si>
    <t>INE231F01020</t>
  </si>
  <si>
    <t>SASTASUNDR</t>
  </si>
  <si>
    <t>INE019J01013</t>
  </si>
  <si>
    <t>SATIA</t>
  </si>
  <si>
    <t>INE170E01023</t>
  </si>
  <si>
    <t>SATIN</t>
  </si>
  <si>
    <t>INE836B01017</t>
  </si>
  <si>
    <t>SBICARD</t>
  </si>
  <si>
    <t>INE018E01016</t>
  </si>
  <si>
    <t>SBIETFQLTY</t>
  </si>
  <si>
    <t>INF200KA1WX6</t>
  </si>
  <si>
    <t>SBILIFE</t>
  </si>
  <si>
    <t>INE123W01016</t>
  </si>
  <si>
    <t>INE062A01020</t>
  </si>
  <si>
    <t>SCAPDVR</t>
  </si>
  <si>
    <t>INE224E01036</t>
  </si>
  <si>
    <t>SCHAEFFLER</t>
  </si>
  <si>
    <t>INE513A01014</t>
  </si>
  <si>
    <t>SCHNEIDER</t>
  </si>
  <si>
    <t>INE839M01018</t>
  </si>
  <si>
    <t>SCI</t>
  </si>
  <si>
    <t>INE109A01011</t>
  </si>
  <si>
    <t>SEAMECLTD</t>
  </si>
  <si>
    <t>INE497B01018</t>
  </si>
  <si>
    <t>SELAN</t>
  </si>
  <si>
    <t>INE818A01017</t>
  </si>
  <si>
    <t>SEQUENT</t>
  </si>
  <si>
    <t>INE807F01027</t>
  </si>
  <si>
    <t>SESHAPAPER</t>
  </si>
  <si>
    <t>INE630A01024</t>
  </si>
  <si>
    <t>SETCO</t>
  </si>
  <si>
    <t>INE878E01021</t>
  </si>
  <si>
    <t>SETF10GILT</t>
  </si>
  <si>
    <t>INF200KA1JT1</t>
  </si>
  <si>
    <t>SETFGOLD</t>
  </si>
  <si>
    <t>INF200K01099</t>
  </si>
  <si>
    <t>SETFNIF50</t>
  </si>
  <si>
    <t>INF200KA1FS1</t>
  </si>
  <si>
    <t>SETFNIFBK</t>
  </si>
  <si>
    <t>INF200KA1580</t>
  </si>
  <si>
    <t>SETFNN50</t>
  </si>
  <si>
    <t>INF200KA1598</t>
  </si>
  <si>
    <t>SEYAIND</t>
  </si>
  <si>
    <t>INE573R01012</t>
  </si>
  <si>
    <t>SFL</t>
  </si>
  <si>
    <t>INE916U01025</t>
  </si>
  <si>
    <t>SGL</t>
  </si>
  <si>
    <t>INE353H01010</t>
  </si>
  <si>
    <t>SHAHALLOYS</t>
  </si>
  <si>
    <t>INE640C01011</t>
  </si>
  <si>
    <t>SHAKTIPUMP</t>
  </si>
  <si>
    <t>INE908D01010</t>
  </si>
  <si>
    <t>SHALBY</t>
  </si>
  <si>
    <t>INE597J01018</t>
  </si>
  <si>
    <t>SHALPAINTS</t>
  </si>
  <si>
    <t>INE849C01026</t>
  </si>
  <si>
    <t>SHANKARA</t>
  </si>
  <si>
    <t>INE274V01019</t>
  </si>
  <si>
    <t>SHANTIGEAR</t>
  </si>
  <si>
    <t>INE631A01022</t>
  </si>
  <si>
    <t>SHARDACROP</t>
  </si>
  <si>
    <t>INE221J01015</t>
  </si>
  <si>
    <t>SHARDAMOTR</t>
  </si>
  <si>
    <t>INE597I01010</t>
  </si>
  <si>
    <t>SHARIABEES</t>
  </si>
  <si>
    <t>INF732E01128</t>
  </si>
  <si>
    <t>SHEMAROO</t>
  </si>
  <si>
    <t>INE363M01019</t>
  </si>
  <si>
    <t>SHIL</t>
  </si>
  <si>
    <t>INE05AN01011</t>
  </si>
  <si>
    <t>SHILPAMED</t>
  </si>
  <si>
    <t>INE790G01031</t>
  </si>
  <si>
    <t>SHIRPUR-G</t>
  </si>
  <si>
    <t>INE196B01016</t>
  </si>
  <si>
    <t>SHIVAMAUTO</t>
  </si>
  <si>
    <t>INE637H01024</t>
  </si>
  <si>
    <t>SHIVAMILLS</t>
  </si>
  <si>
    <t>INE644Y01017</t>
  </si>
  <si>
    <t>SHIVATEX</t>
  </si>
  <si>
    <t>INE705C01020</t>
  </si>
  <si>
    <t>SHK</t>
  </si>
  <si>
    <t>INE500L01026</t>
  </si>
  <si>
    <t>SHOPERSTOP</t>
  </si>
  <si>
    <t>INE498B01024</t>
  </si>
  <si>
    <t>SHREDIGCEM</t>
  </si>
  <si>
    <t>INE232A01011</t>
  </si>
  <si>
    <t>SHREECEM</t>
  </si>
  <si>
    <t>INE070A01015</t>
  </si>
  <si>
    <t>SHREEPUSHK</t>
  </si>
  <si>
    <t>INE712K01011</t>
  </si>
  <si>
    <t>SHREERAMA</t>
  </si>
  <si>
    <t>INE879A01019</t>
  </si>
  <si>
    <t>SHRENIK</t>
  </si>
  <si>
    <t>INE632X01022</t>
  </si>
  <si>
    <t>SHREYANIND</t>
  </si>
  <si>
    <t>INE231C01019</t>
  </si>
  <si>
    <t>SHREYAS</t>
  </si>
  <si>
    <t>INE757B01015</t>
  </si>
  <si>
    <t>SHRIRAMCIT</t>
  </si>
  <si>
    <t>INE722A01011</t>
  </si>
  <si>
    <t>SHRIRAMEPC</t>
  </si>
  <si>
    <t>INE964H01014</t>
  </si>
  <si>
    <t>SICAGEN</t>
  </si>
  <si>
    <t>INE176J01011</t>
  </si>
  <si>
    <t>SICAL</t>
  </si>
  <si>
    <t>INE075B01012</t>
  </si>
  <si>
    <t>SIEMENS</t>
  </si>
  <si>
    <t>INE003A01024</t>
  </si>
  <si>
    <t>SIGIND</t>
  </si>
  <si>
    <t>INE529F01035</t>
  </si>
  <si>
    <t>SILINV</t>
  </si>
  <si>
    <t>INE923A01015</t>
  </si>
  <si>
    <t>SIMBHALS</t>
  </si>
  <si>
    <t>INE748T01016</t>
  </si>
  <si>
    <t>SIMPLEXINF</t>
  </si>
  <si>
    <t>INE059B01024</t>
  </si>
  <si>
    <t>SIRCA</t>
  </si>
  <si>
    <t>INE792Z01011</t>
  </si>
  <si>
    <t>SIS</t>
  </si>
  <si>
    <t>INE285J01028</t>
  </si>
  <si>
    <t>SIYSIL</t>
  </si>
  <si>
    <t>INE076B01028</t>
  </si>
  <si>
    <t>SJVN</t>
  </si>
  <si>
    <t>INE002L01015</t>
  </si>
  <si>
    <t>SKFINDIA</t>
  </si>
  <si>
    <t>INE640A01023</t>
  </si>
  <si>
    <t>SKIPPER</t>
  </si>
  <si>
    <t>INE439E01022</t>
  </si>
  <si>
    <t>SKMEGGPROD</t>
  </si>
  <si>
    <t>INE411D01015</t>
  </si>
  <si>
    <t>SMARTLINK</t>
  </si>
  <si>
    <t>INE178C01020</t>
  </si>
  <si>
    <t>SMLISUZU</t>
  </si>
  <si>
    <t>INE294B01019</t>
  </si>
  <si>
    <t>SMSLIFE</t>
  </si>
  <si>
    <t>INE320X01016</t>
  </si>
  <si>
    <t>SMSPHARMA</t>
  </si>
  <si>
    <t>INE812G01025</t>
  </si>
  <si>
    <t>SNOWMAN</t>
  </si>
  <si>
    <t>INE734N01019</t>
  </si>
  <si>
    <t>SOBHA</t>
  </si>
  <si>
    <t>INE671H01015</t>
  </si>
  <si>
    <t>SOLARA</t>
  </si>
  <si>
    <t>INE624Z01016</t>
  </si>
  <si>
    <t>SOLARINDS</t>
  </si>
  <si>
    <t>INE343H01029</t>
  </si>
  <si>
    <t>SOMANYCERA</t>
  </si>
  <si>
    <t>INE355A01028</t>
  </si>
  <si>
    <t>SOMATEX</t>
  </si>
  <si>
    <t>INE314C01013</t>
  </si>
  <si>
    <t>SOMICONVEY</t>
  </si>
  <si>
    <t>INE323J01019</t>
  </si>
  <si>
    <t>SONATSOFTW</t>
  </si>
  <si>
    <t>INE269A01021</t>
  </si>
  <si>
    <t>SORILINFRA</t>
  </si>
  <si>
    <t>INE034H01016</t>
  </si>
  <si>
    <t>SOTL</t>
  </si>
  <si>
    <t>INE035D01012</t>
  </si>
  <si>
    <t>SOUTHBANK</t>
  </si>
  <si>
    <t>INE683A01023</t>
  </si>
  <si>
    <t>SPAL</t>
  </si>
  <si>
    <t>INE212I01016</t>
  </si>
  <si>
    <t>SPANDANA</t>
  </si>
  <si>
    <t>INE572J01011</t>
  </si>
  <si>
    <t>SPARC</t>
  </si>
  <si>
    <t>INE232I01014</t>
  </si>
  <si>
    <t>SPECIALITY</t>
  </si>
  <si>
    <t>INE247M01014</t>
  </si>
  <si>
    <t>SPENCERS</t>
  </si>
  <si>
    <t>INE020801028</t>
  </si>
  <si>
    <t>SPIC</t>
  </si>
  <si>
    <t>INE147A01011</t>
  </si>
  <si>
    <t>SPICEJET</t>
  </si>
  <si>
    <t>INE285B01017</t>
  </si>
  <si>
    <t>SPLIL</t>
  </si>
  <si>
    <t>INE978G01016</t>
  </si>
  <si>
    <t>SPMLINFRA</t>
  </si>
  <si>
    <t>INE937A01023</t>
  </si>
  <si>
    <t>SREEL</t>
  </si>
  <si>
    <t>INE099F01013</t>
  </si>
  <si>
    <t>SREINFRA</t>
  </si>
  <si>
    <t>INE872A01014</t>
  </si>
  <si>
    <t>SRF</t>
  </si>
  <si>
    <t>INE647A01010</t>
  </si>
  <si>
    <t>SRHHYPOLTD</t>
  </si>
  <si>
    <t>INE917H01012</t>
  </si>
  <si>
    <t>SRIPIPES</t>
  </si>
  <si>
    <t>INE943C01027</t>
  </si>
  <si>
    <t>SRTRANSFIN</t>
  </si>
  <si>
    <t>INE721A01013</t>
  </si>
  <si>
    <t>SSWL</t>
  </si>
  <si>
    <t>INE802C01017</t>
  </si>
  <si>
    <t>STAMPEDE</t>
  </si>
  <si>
    <t>INE224E01028</t>
  </si>
  <si>
    <t>STAR</t>
  </si>
  <si>
    <t>INE939A01011</t>
  </si>
  <si>
    <t>STARCEMENT</t>
  </si>
  <si>
    <t>INE460H01021</t>
  </si>
  <si>
    <t>STARPAPER</t>
  </si>
  <si>
    <t>INE733A01018</t>
  </si>
  <si>
    <t>STCINDIA</t>
  </si>
  <si>
    <t>INE655A01013</t>
  </si>
  <si>
    <t>STEELCITY</t>
  </si>
  <si>
    <t>INE395H01011</t>
  </si>
  <si>
    <t>STEELXIND</t>
  </si>
  <si>
    <t>INE503B01013</t>
  </si>
  <si>
    <t>STEL</t>
  </si>
  <si>
    <t>INE577L01016</t>
  </si>
  <si>
    <t>STERTOOLS</t>
  </si>
  <si>
    <t>INE334A01023</t>
  </si>
  <si>
    <t>STRTECH</t>
  </si>
  <si>
    <t>INE089C01029</t>
  </si>
  <si>
    <t>SUBROS</t>
  </si>
  <si>
    <t>INE287B01021</t>
  </si>
  <si>
    <t>SUDARSCHEM</t>
  </si>
  <si>
    <t>INE659A01023</t>
  </si>
  <si>
    <t>SUMEETINDS</t>
  </si>
  <si>
    <t>INE235C01010</t>
  </si>
  <si>
    <t>SUMICHEM</t>
  </si>
  <si>
    <t>INE258G01013</t>
  </si>
  <si>
    <t>SUMMITSEC</t>
  </si>
  <si>
    <t>INE519C01017</t>
  </si>
  <si>
    <t>SUNCLAYLTD</t>
  </si>
  <si>
    <t>INE105A01035</t>
  </si>
  <si>
    <t>SUNDARAM</t>
  </si>
  <si>
    <t>INE108E01023</t>
  </si>
  <si>
    <t>SUNDARMFIN</t>
  </si>
  <si>
    <t>INE660A01013</t>
  </si>
  <si>
    <t>SUNDARMHLD</t>
  </si>
  <si>
    <t>INE202Z01029</t>
  </si>
  <si>
    <t>SUNDRMBRAK</t>
  </si>
  <si>
    <t>INE073D01013</t>
  </si>
  <si>
    <t>SUNDRMFAST</t>
  </si>
  <si>
    <t>INE387A01021</t>
  </si>
  <si>
    <t>SUNFLAG</t>
  </si>
  <si>
    <t>INE947A01014</t>
  </si>
  <si>
    <t>INE044A01036</t>
  </si>
  <si>
    <t>SUNTECK</t>
  </si>
  <si>
    <t>INE805D01034</t>
  </si>
  <si>
    <t>SUNTV</t>
  </si>
  <si>
    <t>INE424H01027</t>
  </si>
  <si>
    <t>SUPERHOUSE</t>
  </si>
  <si>
    <t>INE712B01010</t>
  </si>
  <si>
    <t>SUPERSPIN</t>
  </si>
  <si>
    <t>INE662A01027</t>
  </si>
  <si>
    <t>SUPPETRO</t>
  </si>
  <si>
    <t>INE663A01017</t>
  </si>
  <si>
    <t>SUPRAJIT</t>
  </si>
  <si>
    <t>INE399C01030</t>
  </si>
  <si>
    <t>SUPREMEIND</t>
  </si>
  <si>
    <t>INE195A01028</t>
  </si>
  <si>
    <t>SURANASOL</t>
  </si>
  <si>
    <t>INE272L01022</t>
  </si>
  <si>
    <t>SURANAT&amp;P</t>
  </si>
  <si>
    <t>INE130B01031</t>
  </si>
  <si>
    <t>SURYAROSNI</t>
  </si>
  <si>
    <t>INE335A01012</t>
  </si>
  <si>
    <t>SUTLEJTEX</t>
  </si>
  <si>
    <t>INE645H01027</t>
  </si>
  <si>
    <t>SUVEN</t>
  </si>
  <si>
    <t>INE495B01038</t>
  </si>
  <si>
    <t>SUVENPHAR</t>
  </si>
  <si>
    <t>INE03QK01018</t>
  </si>
  <si>
    <t>SUZLON</t>
  </si>
  <si>
    <t>INE040H01021</t>
  </si>
  <si>
    <t>SWANENERGY</t>
  </si>
  <si>
    <t>INE665A01038</t>
  </si>
  <si>
    <t>SWARAJENG</t>
  </si>
  <si>
    <t>INE277A01016</t>
  </si>
  <si>
    <t>SWELECTES</t>
  </si>
  <si>
    <t>INE409B01013</t>
  </si>
  <si>
    <t>SWSOLAR</t>
  </si>
  <si>
    <t>INE00M201021</t>
  </si>
  <si>
    <t>SYMPHONY</t>
  </si>
  <si>
    <t>INE225D01027</t>
  </si>
  <si>
    <t>SYNGENE</t>
  </si>
  <si>
    <t>INE398R01022</t>
  </si>
  <si>
    <t>TAINWALCHM</t>
  </si>
  <si>
    <t>INE123C01018</t>
  </si>
  <si>
    <t>TAJGVK</t>
  </si>
  <si>
    <t>INE586B01026</t>
  </si>
  <si>
    <t>TAKE</t>
  </si>
  <si>
    <t>INE142I01023</t>
  </si>
  <si>
    <t>TALBROAUTO</t>
  </si>
  <si>
    <t>INE187D01011</t>
  </si>
  <si>
    <t>TANLA</t>
  </si>
  <si>
    <t>INE483C01032</t>
  </si>
  <si>
    <t>TARMAT</t>
  </si>
  <si>
    <t>INE924H01018</t>
  </si>
  <si>
    <t>TASTYBITE</t>
  </si>
  <si>
    <t>INE488B01017</t>
  </si>
  <si>
    <t>TATACHEM</t>
  </si>
  <si>
    <t>INE092A01019</t>
  </si>
  <si>
    <t>TATACOFFEE</t>
  </si>
  <si>
    <t>INE493A01027</t>
  </si>
  <si>
    <t>TATACOMM</t>
  </si>
  <si>
    <t>INE151A01013</t>
  </si>
  <si>
    <t>TATACONSUM</t>
  </si>
  <si>
    <t>INE192A01025</t>
  </si>
  <si>
    <t>TATAELXSI</t>
  </si>
  <si>
    <t>INE670A01012</t>
  </si>
  <si>
    <t>TATAINVEST</t>
  </si>
  <si>
    <t>INE672A01018</t>
  </si>
  <si>
    <t>TATAMETALI</t>
  </si>
  <si>
    <t>INE056C01010</t>
  </si>
  <si>
    <t>TATAMOTORS</t>
  </si>
  <si>
    <t>INE155A01022</t>
  </si>
  <si>
    <t>TATAMTRDVR</t>
  </si>
  <si>
    <t>IN9155A01020</t>
  </si>
  <si>
    <t>TATAPOWER</t>
  </si>
  <si>
    <t>INE245A01021</t>
  </si>
  <si>
    <t>INE081A01012</t>
  </si>
  <si>
    <t>TATASTLBSL</t>
  </si>
  <si>
    <t>INE824B01021</t>
  </si>
  <si>
    <t>TATASTLLP</t>
  </si>
  <si>
    <t>INE674A01014</t>
  </si>
  <si>
    <t>TBZ</t>
  </si>
  <si>
    <t>INE760L01018</t>
  </si>
  <si>
    <t>TCI</t>
  </si>
  <si>
    <t>INE688A01022</t>
  </si>
  <si>
    <t>TCIDEVELOP</t>
  </si>
  <si>
    <t>INE662L01016</t>
  </si>
  <si>
    <t>TCIEXP</t>
  </si>
  <si>
    <t>INE586V01016</t>
  </si>
  <si>
    <t>TCIFINANCE</t>
  </si>
  <si>
    <t>INE911B01018</t>
  </si>
  <si>
    <t>TCNSBRANDS</t>
  </si>
  <si>
    <t>INE778U01029</t>
  </si>
  <si>
    <t>TCPLPACK</t>
  </si>
  <si>
    <t>INE822C01015</t>
  </si>
  <si>
    <t>TCS</t>
  </si>
  <si>
    <t>INE467B01029</t>
  </si>
  <si>
    <t>TDPOWERSYS</t>
  </si>
  <si>
    <t>INE419M01019</t>
  </si>
  <si>
    <t>TEAMLEASE</t>
  </si>
  <si>
    <t>INE985S01024</t>
  </si>
  <si>
    <t>TECHM</t>
  </si>
  <si>
    <t>INE669C01036</t>
  </si>
  <si>
    <t>TECHNOE</t>
  </si>
  <si>
    <t>INE285K01026</t>
  </si>
  <si>
    <t>TECHNOFAB</t>
  </si>
  <si>
    <t>INE509K01011</t>
  </si>
  <si>
    <t>TEJASNET</t>
  </si>
  <si>
    <t>INE010J01012</t>
  </si>
  <si>
    <t>TERASOFT</t>
  </si>
  <si>
    <t>INE482B01010</t>
  </si>
  <si>
    <t>TEXINFRA</t>
  </si>
  <si>
    <t>INE435C01024</t>
  </si>
  <si>
    <t>TEXMOPIPES</t>
  </si>
  <si>
    <t>INE141K01013</t>
  </si>
  <si>
    <t>TEXRAIL</t>
  </si>
  <si>
    <t>INE621L01012</t>
  </si>
  <si>
    <t>TFCILTD</t>
  </si>
  <si>
    <t>INE305A01015</t>
  </si>
  <si>
    <t>TFL</t>
  </si>
  <si>
    <t>INE804H01012</t>
  </si>
  <si>
    <t>TGBHOTELS</t>
  </si>
  <si>
    <t>INE797H01018</t>
  </si>
  <si>
    <t>THANGAMAYL</t>
  </si>
  <si>
    <t>INE085J01014</t>
  </si>
  <si>
    <t>THEINVEST</t>
  </si>
  <si>
    <t>INE924D01017</t>
  </si>
  <si>
    <t>THEMISMED</t>
  </si>
  <si>
    <t>INE083B01016</t>
  </si>
  <si>
    <t>THERMAX</t>
  </si>
  <si>
    <t>INE152A01029</t>
  </si>
  <si>
    <t>THOMASCOOK</t>
  </si>
  <si>
    <t>INE332A01027</t>
  </si>
  <si>
    <t>THYROCARE</t>
  </si>
  <si>
    <t>INE594H01019</t>
  </si>
  <si>
    <t>TI</t>
  </si>
  <si>
    <t>INE133E01013</t>
  </si>
  <si>
    <t>TIDEWATER</t>
  </si>
  <si>
    <t>INE484C01022</t>
  </si>
  <si>
    <t>TIIL</t>
  </si>
  <si>
    <t>INE545H01011</t>
  </si>
  <si>
    <t>TIINDIA</t>
  </si>
  <si>
    <t>INE974X01010</t>
  </si>
  <si>
    <t>TIJARIA</t>
  </si>
  <si>
    <t>INE440L01017</t>
  </si>
  <si>
    <t>TIL</t>
  </si>
  <si>
    <t>INE806C01018</t>
  </si>
  <si>
    <t>TIMESGTY</t>
  </si>
  <si>
    <t>INE289C01025</t>
  </si>
  <si>
    <t>TIMETECHNO</t>
  </si>
  <si>
    <t>INE508G01029</t>
  </si>
  <si>
    <t>TIMKEN</t>
  </si>
  <si>
    <t>INE325A01013</t>
  </si>
  <si>
    <t>TINPLATE</t>
  </si>
  <si>
    <t>INE422C01014</t>
  </si>
  <si>
    <t>TIPSINDLTD</t>
  </si>
  <si>
    <t>INE716B01011</t>
  </si>
  <si>
    <t>TIRUMALCHM</t>
  </si>
  <si>
    <t>INE338A01024</t>
  </si>
  <si>
    <t>TITAN</t>
  </si>
  <si>
    <t>INE280A01028</t>
  </si>
  <si>
    <t>TMRVL</t>
  </si>
  <si>
    <t>INE759V01019</t>
  </si>
  <si>
    <t>TNPETRO</t>
  </si>
  <si>
    <t>INE148A01019</t>
  </si>
  <si>
    <t>TNPL</t>
  </si>
  <si>
    <t>INE107A01015</t>
  </si>
  <si>
    <t>TOKYOPLAST</t>
  </si>
  <si>
    <t>INE932C01012</t>
  </si>
  <si>
    <t>TORNTPHARM</t>
  </si>
  <si>
    <t>INE685A01028</t>
  </si>
  <si>
    <t>TORNTPOWER</t>
  </si>
  <si>
    <t>INE813H01021</t>
  </si>
  <si>
    <t>TPLPLASTEH</t>
  </si>
  <si>
    <t>INE413G01014</t>
  </si>
  <si>
    <t>TREEHOUSE</t>
  </si>
  <si>
    <t>INE040M01013</t>
  </si>
  <si>
    <t>TREJHARA</t>
  </si>
  <si>
    <t>INE00CA01015</t>
  </si>
  <si>
    <t>TRENT</t>
  </si>
  <si>
    <t>INE849A01020</t>
  </si>
  <si>
    <t>TRF</t>
  </si>
  <si>
    <t>INE391D01019</t>
  </si>
  <si>
    <t>TRIDENT</t>
  </si>
  <si>
    <t>INE064C01022</t>
  </si>
  <si>
    <t>TRIGYN</t>
  </si>
  <si>
    <t>INE948A01012</t>
  </si>
  <si>
    <t>TRIL</t>
  </si>
  <si>
    <t>INE763I01026</t>
  </si>
  <si>
    <t>TRITURBINE</t>
  </si>
  <si>
    <t>INE152M01016</t>
  </si>
  <si>
    <t>TRIVENI</t>
  </si>
  <si>
    <t>INE256C01024</t>
  </si>
  <si>
    <t>TTKHLTCARE</t>
  </si>
  <si>
    <t>INE910C01018</t>
  </si>
  <si>
    <t>TTKPRESTIG</t>
  </si>
  <si>
    <t>INE690A01010</t>
  </si>
  <si>
    <t>TTL</t>
  </si>
  <si>
    <t>INE592B01016</t>
  </si>
  <si>
    <t>TTML</t>
  </si>
  <si>
    <t>INE517B01013</t>
  </si>
  <si>
    <t>TV18BRDCST</t>
  </si>
  <si>
    <t>INE886H01027</t>
  </si>
  <si>
    <t>TVSELECT</t>
  </si>
  <si>
    <t>INE236G01019</t>
  </si>
  <si>
    <t>TVSMOTOR</t>
  </si>
  <si>
    <t>INE494B01023</t>
  </si>
  <si>
    <t>TVSSRICHAK</t>
  </si>
  <si>
    <t>INE421C01016</t>
  </si>
  <si>
    <t>TVTODAY</t>
  </si>
  <si>
    <t>INE038F01029</t>
  </si>
  <si>
    <t>TVVISION</t>
  </si>
  <si>
    <t>INE871L01013</t>
  </si>
  <si>
    <t>TWL</t>
  </si>
  <si>
    <t>INE615H01020</t>
  </si>
  <si>
    <t>UBL</t>
  </si>
  <si>
    <t>INE686F01025</t>
  </si>
  <si>
    <t>UCALFUEL</t>
  </si>
  <si>
    <t>INE139B01016</t>
  </si>
  <si>
    <t>UCOBANK</t>
  </si>
  <si>
    <t>INE691A01018</t>
  </si>
  <si>
    <t>UFLEX</t>
  </si>
  <si>
    <t>INE516A01017</t>
  </si>
  <si>
    <t>UFO</t>
  </si>
  <si>
    <t>INE527H01019</t>
  </si>
  <si>
    <t>UGARSUGAR</t>
  </si>
  <si>
    <t>INE071E01023</t>
  </si>
  <si>
    <t>UJAAS</t>
  </si>
  <si>
    <t>INE899L01022</t>
  </si>
  <si>
    <t>UJJIVAN</t>
  </si>
  <si>
    <t>INE334L01012</t>
  </si>
  <si>
    <t>UJJIVANSFB</t>
  </si>
  <si>
    <t>INE551W01018</t>
  </si>
  <si>
    <t>ULTRACEMCO</t>
  </si>
  <si>
    <t>INE481G01011</t>
  </si>
  <si>
    <t>UMANGDAIRY</t>
  </si>
  <si>
    <t>INE864B01027</t>
  </si>
  <si>
    <t>UMESLTD</t>
  </si>
  <si>
    <t>INE240C01028</t>
  </si>
  <si>
    <t>UNICHEMLAB</t>
  </si>
  <si>
    <t>INE351A01035</t>
  </si>
  <si>
    <t>UNIENTER</t>
  </si>
  <si>
    <t>INE037A01022</t>
  </si>
  <si>
    <t>UNIONBANK</t>
  </si>
  <si>
    <t>INE692A01016</t>
  </si>
  <si>
    <t>UNIPLY</t>
  </si>
  <si>
    <t>INE950G01023</t>
  </si>
  <si>
    <t>UNITEDTEA</t>
  </si>
  <si>
    <t>INE458F01011</t>
  </si>
  <si>
    <t>UNIVCABLES</t>
  </si>
  <si>
    <t>INE279A01012</t>
  </si>
  <si>
    <t>UNIVPHOTO</t>
  </si>
  <si>
    <t>INE03V001013</t>
  </si>
  <si>
    <t>UPL</t>
  </si>
  <si>
    <t>INE628A01036</t>
  </si>
  <si>
    <t>URJA</t>
  </si>
  <si>
    <t>INE550C01020</t>
  </si>
  <si>
    <t>USHAMART</t>
  </si>
  <si>
    <t>INE228A01035</t>
  </si>
  <si>
    <t>UTINEXT50</t>
  </si>
  <si>
    <t>INF789FC1N82</t>
  </si>
  <si>
    <t>UTINIFTETF</t>
  </si>
  <si>
    <t>INF789FB1X41</t>
  </si>
  <si>
    <t>UTISENSETF</t>
  </si>
  <si>
    <t>INF789FB1X58</t>
  </si>
  <si>
    <t>UTTAMSTL</t>
  </si>
  <si>
    <t>INE699A01011</t>
  </si>
  <si>
    <t>UTTAMSUGAR</t>
  </si>
  <si>
    <t>INE786F01031</t>
  </si>
  <si>
    <t>V2RETAIL</t>
  </si>
  <si>
    <t>INE945H01013</t>
  </si>
  <si>
    <t>VADILALIND</t>
  </si>
  <si>
    <t>INE694D01016</t>
  </si>
  <si>
    <t>VAIBHAVGBL</t>
  </si>
  <si>
    <t>INE884A01019</t>
  </si>
  <si>
    <t>VAISHALI</t>
  </si>
  <si>
    <t>INE972X01014</t>
  </si>
  <si>
    <t>VAKRANGEE</t>
  </si>
  <si>
    <t>INE051B01021</t>
  </si>
  <si>
    <t>VARDHACRLC</t>
  </si>
  <si>
    <t>INE116G01013</t>
  </si>
  <si>
    <t>VARDMNPOLY</t>
  </si>
  <si>
    <t>INE835A01011</t>
  </si>
  <si>
    <t>VARROC</t>
  </si>
  <si>
    <t>INE665L01035</t>
  </si>
  <si>
    <t>VASCONEQ</t>
  </si>
  <si>
    <t>INE893I01013</t>
  </si>
  <si>
    <t>VASWANI</t>
  </si>
  <si>
    <t>INE590L01019</t>
  </si>
  <si>
    <t>VBL</t>
  </si>
  <si>
    <t>INE200M01013</t>
  </si>
  <si>
    <t>VEDL</t>
  </si>
  <si>
    <t>INE205A01025</t>
  </si>
  <si>
    <t>VENKEYS</t>
  </si>
  <si>
    <t>INE398A01010</t>
  </si>
  <si>
    <t>VERTOZ</t>
  </si>
  <si>
    <t>INE188Y01015</t>
  </si>
  <si>
    <t>VESUVIUS</t>
  </si>
  <si>
    <t>INE386A01015</t>
  </si>
  <si>
    <t>VETO</t>
  </si>
  <si>
    <t>INE918N01018</t>
  </si>
  <si>
    <t>VGUARD</t>
  </si>
  <si>
    <t>INE951I01027</t>
  </si>
  <si>
    <t>VHL</t>
  </si>
  <si>
    <t>INE701A01023</t>
  </si>
  <si>
    <t>VIDHIING</t>
  </si>
  <si>
    <t>INE632C01026</t>
  </si>
  <si>
    <t>VIJIFIN</t>
  </si>
  <si>
    <t>INE159N01027</t>
  </si>
  <si>
    <t>VIKASECO</t>
  </si>
  <si>
    <t>INE806A01020</t>
  </si>
  <si>
    <t>VIKASPROP</t>
  </si>
  <si>
    <t>INE767B01022</t>
  </si>
  <si>
    <t>VIKASWSP</t>
  </si>
  <si>
    <t>INE706A01022</t>
  </si>
  <si>
    <t>VIMTALABS</t>
  </si>
  <si>
    <t>INE579C01029</t>
  </si>
  <si>
    <t>VINATIORGA</t>
  </si>
  <si>
    <t>INE410B01037</t>
  </si>
  <si>
    <t>VINDHYATEL</t>
  </si>
  <si>
    <t>INE707A01012</t>
  </si>
  <si>
    <t>VINYLINDIA</t>
  </si>
  <si>
    <t>INE250B01029</t>
  </si>
  <si>
    <t>VIPCLOTHNG</t>
  </si>
  <si>
    <t>INE450G01024</t>
  </si>
  <si>
    <t>VIPIND</t>
  </si>
  <si>
    <t>INE054A01027</t>
  </si>
  <si>
    <t>VIPULLTD</t>
  </si>
  <si>
    <t>INE946H01037</t>
  </si>
  <si>
    <t>VISAKAIND</t>
  </si>
  <si>
    <t>INE392A01013</t>
  </si>
  <si>
    <t>VISASTEEL</t>
  </si>
  <si>
    <t>INE286H01012</t>
  </si>
  <si>
    <t>VISHNU</t>
  </si>
  <si>
    <t>INE270I01014</t>
  </si>
  <si>
    <t>VISHWARAJ</t>
  </si>
  <si>
    <t>INE430N01014</t>
  </si>
  <si>
    <t>VIVIDHA</t>
  </si>
  <si>
    <t>INE370E01029</t>
  </si>
  <si>
    <t>VIVIMEDLAB</t>
  </si>
  <si>
    <t>INE526G01021</t>
  </si>
  <si>
    <t>VLSFINANCE</t>
  </si>
  <si>
    <t>INE709A01018</t>
  </si>
  <si>
    <t>VMART</t>
  </si>
  <si>
    <t>INE665J01013</t>
  </si>
  <si>
    <t>VOLTAMP</t>
  </si>
  <si>
    <t>INE540H01012</t>
  </si>
  <si>
    <t>INE226A01021</t>
  </si>
  <si>
    <t>VRLLOG</t>
  </si>
  <si>
    <t>INE366I01010</t>
  </si>
  <si>
    <t>VSSL</t>
  </si>
  <si>
    <t>INE050M01012</t>
  </si>
  <si>
    <t>VSTIND</t>
  </si>
  <si>
    <t>INE710A01016</t>
  </si>
  <si>
    <t>VSTTILLERS</t>
  </si>
  <si>
    <t>INE764D01017</t>
  </si>
  <si>
    <t>VTL</t>
  </si>
  <si>
    <t>INE825A01012</t>
  </si>
  <si>
    <t>WABAG</t>
  </si>
  <si>
    <t>INE956G01038</t>
  </si>
  <si>
    <t>WABCOINDIA</t>
  </si>
  <si>
    <t>INE342J01019</t>
  </si>
  <si>
    <t>WALCHANNAG</t>
  </si>
  <si>
    <t>INE711A01022</t>
  </si>
  <si>
    <t>WATERBASE</t>
  </si>
  <si>
    <t>INE054C01015</t>
  </si>
  <si>
    <t>WEBELSOLAR</t>
  </si>
  <si>
    <t>INE855C01015</t>
  </si>
  <si>
    <t>WEIZMANIND</t>
  </si>
  <si>
    <t>INE080A01014</t>
  </si>
  <si>
    <t>WELCORP</t>
  </si>
  <si>
    <t>INE191B01025</t>
  </si>
  <si>
    <t>WELENT</t>
  </si>
  <si>
    <t>INE625G01013</t>
  </si>
  <si>
    <t>WELINV</t>
  </si>
  <si>
    <t>INE389K01018</t>
  </si>
  <si>
    <t>WELSPUNIND</t>
  </si>
  <si>
    <t>INE192B01031</t>
  </si>
  <si>
    <t>WENDT</t>
  </si>
  <si>
    <t>INE274C01019</t>
  </si>
  <si>
    <t>WESTLIFE</t>
  </si>
  <si>
    <t>INE274F01020</t>
  </si>
  <si>
    <t>WHEELS</t>
  </si>
  <si>
    <t>INE715A01015</t>
  </si>
  <si>
    <t>WHIRLPOOL</t>
  </si>
  <si>
    <t>INE716A01013</t>
  </si>
  <si>
    <t>WILLAMAGOR</t>
  </si>
  <si>
    <t>INE210A01017</t>
  </si>
  <si>
    <t>WINDMACHIN</t>
  </si>
  <si>
    <t>INE052A01021</t>
  </si>
  <si>
    <t>WIPRO</t>
  </si>
  <si>
    <t>INE075A01022</t>
  </si>
  <si>
    <t>WOCKPHARMA</t>
  </si>
  <si>
    <t>INE049B01025</t>
  </si>
  <si>
    <t>WONDERLA</t>
  </si>
  <si>
    <t>INE066O01014</t>
  </si>
  <si>
    <t>WSI</t>
  </si>
  <si>
    <t>INE100D01014</t>
  </si>
  <si>
    <t>WSTCSTPAPR</t>
  </si>
  <si>
    <t>INE976A01021</t>
  </si>
  <si>
    <t>XCHANGING</t>
  </si>
  <si>
    <t>INE692G01013</t>
  </si>
  <si>
    <t>XELPMOC</t>
  </si>
  <si>
    <t>INE01P501012</t>
  </si>
  <si>
    <t>XPROINDIA</t>
  </si>
  <si>
    <t>INE445C01015</t>
  </si>
  <si>
    <t>YESBANK</t>
  </si>
  <si>
    <t>INE528G01035</t>
  </si>
  <si>
    <t>ZEEL</t>
  </si>
  <si>
    <t>INE256A01028</t>
  </si>
  <si>
    <t>ZEELEARN</t>
  </si>
  <si>
    <t>INE565L01011</t>
  </si>
  <si>
    <t>ZEEMEDIA</t>
  </si>
  <si>
    <t>INE966H01019</t>
  </si>
  <si>
    <t>ZENITHBIR</t>
  </si>
  <si>
    <t>INE318D01020</t>
  </si>
  <si>
    <t>ZENITHEXPO</t>
  </si>
  <si>
    <t>INE058B01018</t>
  </si>
  <si>
    <t>ZENSARTECH</t>
  </si>
  <si>
    <t>INE520A01027</t>
  </si>
  <si>
    <t>ZENTEC</t>
  </si>
  <si>
    <t>INE251B01027</t>
  </si>
  <si>
    <t>ZICOM</t>
  </si>
  <si>
    <t>INE871B01014</t>
  </si>
  <si>
    <t>ZODIACLOTH</t>
  </si>
  <si>
    <t>INE206B01013</t>
  </si>
  <si>
    <t>ZODJRDMKJ</t>
  </si>
  <si>
    <t>INE077B01018</t>
  </si>
  <si>
    <t>ZOTA</t>
  </si>
  <si>
    <t>INE358U01012</t>
  </si>
  <si>
    <t>ZUARI</t>
  </si>
  <si>
    <t>INE840M01016</t>
  </si>
  <si>
    <t>ZUARIGLOB</t>
  </si>
  <si>
    <t>INE217A01012</t>
  </si>
  <si>
    <t>ZYDUSWELL</t>
  </si>
  <si>
    <t>INE768C01010</t>
  </si>
  <si>
    <t>Index</t>
  </si>
  <si>
    <t>Company Name</t>
  </si>
  <si>
    <t>Industry</t>
  </si>
  <si>
    <t>Series</t>
  </si>
  <si>
    <t>ISIN Code</t>
  </si>
  <si>
    <t>APSector</t>
  </si>
  <si>
    <t>Remarks</t>
  </si>
  <si>
    <t>autolist</t>
  </si>
  <si>
    <t>Amara Raja Batteries Ltd.</t>
  </si>
  <si>
    <t>AUTOMOBILE</t>
  </si>
  <si>
    <t>Apollo Tyres Ltd.</t>
  </si>
  <si>
    <t>Ashok Leyland Ltd.</t>
  </si>
  <si>
    <t>Bajaj Auto Ltd.</t>
  </si>
  <si>
    <t>Bharat Forge Ltd.</t>
  </si>
  <si>
    <t>INDUSTRIAL MANUFACTURING</t>
  </si>
  <si>
    <t>Bosch Ltd.</t>
  </si>
  <si>
    <t>Eicher Motors Ltd.</t>
  </si>
  <si>
    <t>Exide Industries Ltd.</t>
  </si>
  <si>
    <t>Hero MotoCorp Ltd.</t>
  </si>
  <si>
    <t>MRF Ltd.</t>
  </si>
  <si>
    <t>Mahindra &amp; Mahindra Ltd.</t>
  </si>
  <si>
    <t>Maruti Suzuki India Ltd.</t>
  </si>
  <si>
    <t>Motherson Sumi Systems Ltd.</t>
  </si>
  <si>
    <t>TVS Motor Company Ltd.</t>
  </si>
  <si>
    <t>Tata Motors Ltd.</t>
  </si>
  <si>
    <t>consumerdurableslist</t>
  </si>
  <si>
    <t>Bajaj Electricals Ltd</t>
  </si>
  <si>
    <t>CONSUMER GOODS</t>
  </si>
  <si>
    <t>Bata India Ltd.</t>
  </si>
  <si>
    <t>Blue Star Ltd.</t>
  </si>
  <si>
    <t>Crompton Greaves Consumer Electricals Ltd.</t>
  </si>
  <si>
    <t>Havells India Ltd.</t>
  </si>
  <si>
    <t>Orient Electric Ltd.</t>
  </si>
  <si>
    <t>Rajesh Exports Ltd.</t>
  </si>
  <si>
    <t>Relaxo Footwears Ltd.</t>
  </si>
  <si>
    <t>Symphony Ltd.</t>
  </si>
  <si>
    <t>TTK Prestige Ltd.</t>
  </si>
  <si>
    <t>Titan Company Ltd.</t>
  </si>
  <si>
    <t>V-Guard Industries Ltd.</t>
  </si>
  <si>
    <t>V.I.P. Industries Ltd.</t>
  </si>
  <si>
    <t>Voltas Ltd.</t>
  </si>
  <si>
    <t>Whirlpool of India Ltd.</t>
  </si>
  <si>
    <t>banklist</t>
  </si>
  <si>
    <t>Axis Bank Ltd.</t>
  </si>
  <si>
    <t>FINANCIAL SERVICES</t>
  </si>
  <si>
    <t>Bandhan Bank Ltd.</t>
  </si>
  <si>
    <t>Bank of Baroda</t>
  </si>
  <si>
    <t>Federal Bank Ltd.</t>
  </si>
  <si>
    <t>HDFC Bank Ltd.</t>
  </si>
  <si>
    <t>ICICI Bank Ltd.</t>
  </si>
  <si>
    <t>IDFC First Bank Ltd.</t>
  </si>
  <si>
    <t>IndusInd Bank Ltd.</t>
  </si>
  <si>
    <t>Kotak Mahindra Bank Ltd.</t>
  </si>
  <si>
    <t>Punjab National Bank</t>
  </si>
  <si>
    <t>RBL Bank Ltd.</t>
  </si>
  <si>
    <t>State Bank of India</t>
  </si>
  <si>
    <t>financelist</t>
  </si>
  <si>
    <t>Bajaj Finance Ltd.</t>
  </si>
  <si>
    <t>Bajaj Finserv Ltd.</t>
  </si>
  <si>
    <t>Bajaj Holdings &amp; Investment Ltd.</t>
  </si>
  <si>
    <t>Cholamandalam Investment and Finance Company Ltd.</t>
  </si>
  <si>
    <t>Edelweiss Financial Services Ltd.</t>
  </si>
  <si>
    <t>HDFC Life Insurance Company Ltd.</t>
  </si>
  <si>
    <t>Housing Development Finance Corporation Ltd.</t>
  </si>
  <si>
    <t>ICICI Lombard General Insurance Company Ltd.</t>
  </si>
  <si>
    <t>ICICI Prudential Life Insurance Company Ltd.</t>
  </si>
  <si>
    <t>Indiabulls Housing Finance Ltd.</t>
  </si>
  <si>
    <t>Mahindra &amp; Mahindra Financial Services Ltd.</t>
  </si>
  <si>
    <t>Power Finance Corporation Ltd.</t>
  </si>
  <si>
    <t>REC Ltd.</t>
  </si>
  <si>
    <t>SBI Life Insurance Company Ltd.</t>
  </si>
  <si>
    <t>Shriram Transport Finance Co. Ltd.</t>
  </si>
  <si>
    <t>fmcglist</t>
  </si>
  <si>
    <t>Britannia Industries Ltd.</t>
  </si>
  <si>
    <t>Colgate Palmolive (India) Ltd.</t>
  </si>
  <si>
    <t>Dabur India Ltd.</t>
  </si>
  <si>
    <t>Emami Ltd.</t>
  </si>
  <si>
    <t>Godrej Consumer Products Ltd.</t>
  </si>
  <si>
    <t>Godrej Industries Ltd.</t>
  </si>
  <si>
    <t>Hindustan Unilever Ltd.</t>
  </si>
  <si>
    <t>ITC Ltd.</t>
  </si>
  <si>
    <t>Jubilant Foodworks Ltd.</t>
  </si>
  <si>
    <t>Marico Ltd.</t>
  </si>
  <si>
    <t>Nestle India Ltd.</t>
  </si>
  <si>
    <t>Procter &amp; Gamble Hygiene &amp; Health Care Ltd.</t>
  </si>
  <si>
    <t>Tata Consumer Products Ltd.</t>
  </si>
  <si>
    <t>United Breweries Ltd.</t>
  </si>
  <si>
    <t>United Spirits Ltd.</t>
  </si>
  <si>
    <t>itlist</t>
  </si>
  <si>
    <t>HCL Technologies Ltd.</t>
  </si>
  <si>
    <t>IT</t>
  </si>
  <si>
    <t>Hexaware Technologies Ltd.</t>
  </si>
  <si>
    <t>Infosys Ltd.</t>
  </si>
  <si>
    <t>Justdial Ltd.</t>
  </si>
  <si>
    <t>MindTree Ltd.</t>
  </si>
  <si>
    <t>NIIT Technologies Ltd.</t>
  </si>
  <si>
    <t>Tata Consultancy Services Ltd.</t>
  </si>
  <si>
    <t>Tata Elxsi Ltd.</t>
  </si>
  <si>
    <t>Tech Mahindra Ltd.</t>
  </si>
  <si>
    <t>Wipro Ltd.</t>
  </si>
  <si>
    <t>medialist</t>
  </si>
  <si>
    <t>Balaji Telefilms Ltd.</t>
  </si>
  <si>
    <t>MEDIA &amp; ENTERTAINMENT</t>
  </si>
  <si>
    <t>D.B.Corp Ltd.</t>
  </si>
  <si>
    <t>Dish TV India Ltd.</t>
  </si>
  <si>
    <t>Inox Leisure Ltd.</t>
  </si>
  <si>
    <t>Jagran Prakashan Ltd.</t>
  </si>
  <si>
    <t>Jump Networks Ltd.</t>
  </si>
  <si>
    <t>Network18 Media &amp; Investments Ltd.</t>
  </si>
  <si>
    <t>PVR Ltd.</t>
  </si>
  <si>
    <t>Saregama India Ltd</t>
  </si>
  <si>
    <t>Sun TV Network Ltd.</t>
  </si>
  <si>
    <t>TV Today Network Ltd.</t>
  </si>
  <si>
    <t>TV18 Broadcast Ltd.</t>
  </si>
  <si>
    <t>Zee Entertainment Enterprises Ltd.</t>
  </si>
  <si>
    <t>Zee Media Corporation Ltd.</t>
  </si>
  <si>
    <t>metallist</t>
  </si>
  <si>
    <t>APL Apollo Tubes Ltd.</t>
  </si>
  <si>
    <t>METALS</t>
  </si>
  <si>
    <t>Coal India Ltd.</t>
  </si>
  <si>
    <t>Hindalco Industries Ltd.</t>
  </si>
  <si>
    <t>Hindustan Copper Ltd.</t>
  </si>
  <si>
    <t>Hindustan Zinc Ltd.</t>
  </si>
  <si>
    <t>JSW Steel Ltd.</t>
  </si>
  <si>
    <t>Jindal Steel &amp; Power Ltd.</t>
  </si>
  <si>
    <t>MOIL Ltd.</t>
  </si>
  <si>
    <t>NMDC Ltd.</t>
  </si>
  <si>
    <t>National Aluminium Co. Ltd.</t>
  </si>
  <si>
    <t>Ratnamani Metals &amp; Tubes Ltd.</t>
  </si>
  <si>
    <t>Steel Authority of India Ltd.</t>
  </si>
  <si>
    <t>Tata Steel Ltd.</t>
  </si>
  <si>
    <t>Vedanta Ltd.</t>
  </si>
  <si>
    <t>Welspun Corp Ltd.</t>
  </si>
  <si>
    <t>oilgaslist</t>
  </si>
  <si>
    <t>Adani Gas Ltd.</t>
  </si>
  <si>
    <t>OIL &amp; GAS</t>
  </si>
  <si>
    <t>Aegis Logistics Ltd.</t>
  </si>
  <si>
    <t>Bharat Petroleum Corporation Ltd.</t>
  </si>
  <si>
    <t>Castrol India Ltd.</t>
  </si>
  <si>
    <t>GAIL (India) Ltd.</t>
  </si>
  <si>
    <t>Gujarat Gas Ltd.</t>
  </si>
  <si>
    <t>Gujarat State Petronet Ltd.</t>
  </si>
  <si>
    <t>Hindustan Petroleum Corporation Ltd.</t>
  </si>
  <si>
    <t>Indian Oil Corporation Ltd.</t>
  </si>
  <si>
    <t>Indraprastha Gas Ltd.</t>
  </si>
  <si>
    <t>Mahanagar Gas Ltd.</t>
  </si>
  <si>
    <t>Oil &amp; Natural Gas Corporation Ltd.</t>
  </si>
  <si>
    <t>Oil India Ltd.</t>
  </si>
  <si>
    <t>Petronet LNG Ltd.</t>
  </si>
  <si>
    <t>Reliance Industries Ltd.</t>
  </si>
  <si>
    <t>pharmalist</t>
  </si>
  <si>
    <t>Aurobindo Pharma Ltd.</t>
  </si>
  <si>
    <t>PHARMA</t>
  </si>
  <si>
    <t>Biocon Ltd.</t>
  </si>
  <si>
    <t>Cadila Healthcare Ltd.</t>
  </si>
  <si>
    <t>Cipla Ltd.</t>
  </si>
  <si>
    <t>Divi's Laboratories Ltd.</t>
  </si>
  <si>
    <t>Dr. Reddy's Laboratories Ltd.</t>
  </si>
  <si>
    <t>Glenmark Pharmaceuticals Ltd.</t>
  </si>
  <si>
    <t>Lupin Ltd.</t>
  </si>
  <si>
    <t>Piramal Enterprises Ltd.</t>
  </si>
  <si>
    <t>Sun Pharmaceutical Industries Ltd.</t>
  </si>
  <si>
    <t>privatebanklist</t>
  </si>
  <si>
    <t>City Union Bank Ltd.</t>
  </si>
  <si>
    <t>psubanklist</t>
  </si>
  <si>
    <t>Bank of India</t>
  </si>
  <si>
    <t>Bank of Maharashtra.</t>
  </si>
  <si>
    <t>Canara Bank</t>
  </si>
  <si>
    <t>Central Bank of India</t>
  </si>
  <si>
    <t>Indian Bank</t>
  </si>
  <si>
    <t xml:space="preserve">Indian Overseas Bank </t>
  </si>
  <si>
    <t>Jammu &amp; Kashmir Bank Ltd.</t>
  </si>
  <si>
    <t>Punjab &amp; Sind Bank</t>
  </si>
  <si>
    <t>UCO Bank</t>
  </si>
  <si>
    <t>Union Bank of India</t>
  </si>
  <si>
    <t>realtylist</t>
  </si>
  <si>
    <t>Brigade Enterprises Ltd.</t>
  </si>
  <si>
    <t>CONSTRUCTION</t>
  </si>
  <si>
    <t>DLF Ltd.</t>
  </si>
  <si>
    <t>Godrej Properties Ltd.</t>
  </si>
  <si>
    <t>Indiabulls Real Estate Ltd.</t>
  </si>
  <si>
    <t>Mahindra Lifespace Developers Ltd.</t>
  </si>
  <si>
    <t>Oberoi Realty Ltd.</t>
  </si>
  <si>
    <t>Phoenix Mills Ltd.</t>
  </si>
  <si>
    <t>Prestige Estates Projects Ltd.</t>
  </si>
  <si>
    <t>Sobha Ltd.</t>
  </si>
  <si>
    <t>Sunteck Realty Ltd.</t>
  </si>
  <si>
    <t>Amnt/Trade</t>
  </si>
  <si>
    <t>KP</t>
  </si>
  <si>
    <t>AvgCost</t>
  </si>
  <si>
    <t>CurPrice</t>
  </si>
  <si>
    <t>SL</t>
  </si>
  <si>
    <t>PSL</t>
  </si>
  <si>
    <t>DayComments</t>
  </si>
  <si>
    <t>DD%</t>
  </si>
  <si>
    <t>GISOLUTION</t>
  </si>
  <si>
    <t>INE065J01016</t>
  </si>
  <si>
    <t>LICNETFSEN</t>
  </si>
  <si>
    <t>INF767K01OT5</t>
  </si>
  <si>
    <t>UTISXN50</t>
  </si>
  <si>
    <t>INF789F1AHR6</t>
  </si>
  <si>
    <t>SL%</t>
  </si>
  <si>
    <t>Sheets</t>
  </si>
  <si>
    <t>Purpose</t>
  </si>
  <si>
    <t>RM</t>
  </si>
  <si>
    <t>Name</t>
  </si>
  <si>
    <t>Read Me</t>
  </si>
  <si>
    <t>Bhavu Copy</t>
  </si>
  <si>
    <t>Bhuv</t>
  </si>
  <si>
    <t>TB</t>
  </si>
  <si>
    <t>Trade Book</t>
  </si>
  <si>
    <t>WL</t>
  </si>
  <si>
    <t>Watch List</t>
  </si>
  <si>
    <t>Watch List History</t>
  </si>
  <si>
    <t>WLH</t>
  </si>
  <si>
    <t>InvRpt</t>
  </si>
  <si>
    <t>Money Management</t>
  </si>
  <si>
    <t>Investment Repot</t>
  </si>
  <si>
    <t>PLRpt</t>
  </si>
  <si>
    <t>Profit &amp; Loss Report</t>
  </si>
  <si>
    <t>UM</t>
  </si>
  <si>
    <t>User Manual</t>
  </si>
  <si>
    <t>TM</t>
  </si>
  <si>
    <t>Technical Manual</t>
  </si>
  <si>
    <t>Indices</t>
  </si>
  <si>
    <t>ObjType</t>
  </si>
  <si>
    <t>ObjName</t>
  </si>
  <si>
    <t>Contains</t>
  </si>
  <si>
    <t>Sheet</t>
  </si>
  <si>
    <t>ReadMe - Link and Documentation for all sheets</t>
  </si>
  <si>
    <t>Bhuv Copy - Daily price from NSEI</t>
  </si>
  <si>
    <t>Trade Book - Downloaded from zhrodha + Calculations</t>
  </si>
  <si>
    <t>Holdings - derived from Trade Book</t>
  </si>
  <si>
    <t>A+A+A Trade Method</t>
  </si>
  <si>
    <t>Money Management - 9% per stock, 3% per trade</t>
  </si>
  <si>
    <t>Question</t>
  </si>
  <si>
    <t>Answer</t>
  </si>
  <si>
    <t>How to select stocks?</t>
  </si>
  <si>
    <t>Prepare Indices sheet from https://www1.nseindia.com/products/content/equities/indices/sectoral_indices.htm
Select 3 stocks per sector based on Sectoral Index and Broad Market Index - stocks available more in these indices.
Those stocks will be available in Watch List.  This select slight adjustment for every quarter.</t>
  </si>
  <si>
    <t>Download from https://www1.nseindia.com/products/content/all_daily_reports.htm.
No extra column in Bhuv sheet - this is vlookuped to WL</t>
  </si>
  <si>
    <t xml:space="preserve">How to get EOD Bhav data </t>
  </si>
  <si>
    <t>How to get TB Data?</t>
  </si>
  <si>
    <t>How to Knoe PL?</t>
  </si>
  <si>
    <t xml:space="preserve">Trade book data download from Zerodha - Kite - holdings - view reports - TradeBook - select date - download csv </t>
  </si>
  <si>
    <t>How to populate Holdings</t>
  </si>
  <si>
    <t>1) From zerodha 
2) From trade book, additional columns added to extract Holdings details - Copy paste from TB</t>
  </si>
  <si>
    <t>How to decide Buy/Sell?</t>
  </si>
  <si>
    <t>1) From Zerodha we can get PL based on given from and to dates.
2) TB data contains forumule columns - once copy the TB from zerodha, sort based on Symbol, date.  &gt; See PLRpt
3) It contains PL, Currently Holding info</t>
  </si>
  <si>
    <t>How much invested, profit?</t>
  </si>
  <si>
    <t>InvRpt for sectorwise, stockwise investment  details.  PLRpt for profit and loss  - every week check this.</t>
  </si>
  <si>
    <t>1) WL - Watch List is getting data from Bhuv, Holdings (through TB) - So Update Bhuv, TB, Holdings.
2) All entries in WL, should have SL, PSL - these numbers +-10% is indication to buy or sell.  Follow A+A+A.  Decide Buy/Sell based on SL/PSL
3) NOQ - tells how much qty should be order for that day for that stock.  (3% for a trade, 9% for a stock, 30% per sector)</t>
  </si>
  <si>
    <t>509GS2022</t>
  </si>
  <si>
    <t>GS</t>
  </si>
  <si>
    <t>IN0020200021</t>
  </si>
  <si>
    <t>716GS2050</t>
  </si>
  <si>
    <t>IN0020200054</t>
  </si>
  <si>
    <t>732GS2024</t>
  </si>
  <si>
    <t>IN0020180488</t>
  </si>
  <si>
    <t>813GS2045</t>
  </si>
  <si>
    <t>IN0020150044</t>
  </si>
  <si>
    <t>AAKASH</t>
  </si>
  <si>
    <t>SM</t>
  </si>
  <si>
    <t>INE087Z01016</t>
  </si>
  <si>
    <t>AARON</t>
  </si>
  <si>
    <t>INE721Z01010</t>
  </si>
  <si>
    <t>ABSLRIF6RG</t>
  </si>
  <si>
    <t>MF</t>
  </si>
  <si>
    <t>INF209KB1LL4</t>
  </si>
  <si>
    <t>ACCURACY</t>
  </si>
  <si>
    <t>INE648Z01015</t>
  </si>
  <si>
    <t>AGRITECH</t>
  </si>
  <si>
    <t>BE</t>
  </si>
  <si>
    <t>INE449G01018</t>
  </si>
  <si>
    <t>AISL</t>
  </si>
  <si>
    <t>INE635Y01015</t>
  </si>
  <si>
    <t>AKASH</t>
  </si>
  <si>
    <t>INE737W01013</t>
  </si>
  <si>
    <t>AMJUMBO</t>
  </si>
  <si>
    <t>INE749Y01014</t>
  </si>
  <si>
    <t>ANSALAPI</t>
  </si>
  <si>
    <t>INE436A01026</t>
  </si>
  <si>
    <t>ARCOTECH</t>
  </si>
  <si>
    <t>INE574I01035</t>
  </si>
  <si>
    <t>ARSHIYA</t>
  </si>
  <si>
    <t>INE968D01022</t>
  </si>
  <si>
    <t>ASLIND</t>
  </si>
  <si>
    <t>INE617I01024</t>
  </si>
  <si>
    <t>ATLASCYCLE</t>
  </si>
  <si>
    <t>INE446A01025</t>
  </si>
  <si>
    <t>AUTOIND</t>
  </si>
  <si>
    <t>INE718H01014</t>
  </si>
  <si>
    <t>AVG</t>
  </si>
  <si>
    <t>INE680Z01018</t>
  </si>
  <si>
    <t>BARTRONICS</t>
  </si>
  <si>
    <t>BZ</t>
  </si>
  <si>
    <t>INE855F01034</t>
  </si>
  <si>
    <t>BCG</t>
  </si>
  <si>
    <t>INE425B01027</t>
  </si>
  <si>
    <t>BEARDSELL</t>
  </si>
  <si>
    <t>INE520H01022</t>
  </si>
  <si>
    <t>BETA</t>
  </si>
  <si>
    <t>INE351Y01019</t>
  </si>
  <si>
    <t>BIOFILCHEM</t>
  </si>
  <si>
    <t>INE829A01014</t>
  </si>
  <si>
    <t>BIRLATYRE</t>
  </si>
  <si>
    <t>INE0AEJ01013</t>
  </si>
  <si>
    <t>BOHRA</t>
  </si>
  <si>
    <t>INE802W01015</t>
  </si>
  <si>
    <t>BRIGHT</t>
  </si>
  <si>
    <t>INE684Z01010</t>
  </si>
  <si>
    <t>N2</t>
  </si>
  <si>
    <t>INE216A07052</t>
  </si>
  <si>
    <t>BROOKS</t>
  </si>
  <si>
    <t>INE650L01011</t>
  </si>
  <si>
    <t>BSHSL</t>
  </si>
  <si>
    <t>INE032Z01012</t>
  </si>
  <si>
    <t>BVCL</t>
  </si>
  <si>
    <t>INE139I01011</t>
  </si>
  <si>
    <t>CADSYS</t>
  </si>
  <si>
    <t>INE090Y01013</t>
  </si>
  <si>
    <t>CANDC</t>
  </si>
  <si>
    <t>INE874H01015</t>
  </si>
  <si>
    <t>CKFSL</t>
  </si>
  <si>
    <t>INE391Z01012</t>
  </si>
  <si>
    <t>CKPLEISURE</t>
  </si>
  <si>
    <t>INE418Y01016</t>
  </si>
  <si>
    <t>CONTI</t>
  </si>
  <si>
    <t>INE340Z01019</t>
  </si>
  <si>
    <t>COX&amp;KINGS</t>
  </si>
  <si>
    <t>INE008I01026</t>
  </si>
  <si>
    <t>CREATIVEYE</t>
  </si>
  <si>
    <t>INE230B01021</t>
  </si>
  <si>
    <t>N6</t>
  </si>
  <si>
    <t>INE202B07HP2</t>
  </si>
  <si>
    <t>NC</t>
  </si>
  <si>
    <t>INE202B07HV0</t>
  </si>
  <si>
    <t>NP</t>
  </si>
  <si>
    <t>INE202B07IO3</t>
  </si>
  <si>
    <t>NQ</t>
  </si>
  <si>
    <t>INE202B07IY2</t>
  </si>
  <si>
    <t>NS</t>
  </si>
  <si>
    <t>INE202B07JA0</t>
  </si>
  <si>
    <t>NX</t>
  </si>
  <si>
    <t>INE202B07JE2</t>
  </si>
  <si>
    <t>NY</t>
  </si>
  <si>
    <t>INE202B07JF9</t>
  </si>
  <si>
    <t>DIAPOWER</t>
  </si>
  <si>
    <t>INE989C01012</t>
  </si>
  <si>
    <t>DIGISPICE</t>
  </si>
  <si>
    <t>INE927C01020</t>
  </si>
  <si>
    <t>DIGJAMLTD</t>
  </si>
  <si>
    <t>INE731U01010</t>
  </si>
  <si>
    <t>DPWIRES</t>
  </si>
  <si>
    <t>INE864X01013</t>
  </si>
  <si>
    <t>E2E</t>
  </si>
  <si>
    <t>INE255Z01019</t>
  </si>
  <si>
    <t>EASUNREYRL</t>
  </si>
  <si>
    <t>INE268C01029</t>
  </si>
  <si>
    <t>EC2RG</t>
  </si>
  <si>
    <t>INF903JA1CP7</t>
  </si>
  <si>
    <t>ECLFINANCE</t>
  </si>
  <si>
    <t>NE</t>
  </si>
  <si>
    <t>INE804I073Y9</t>
  </si>
  <si>
    <t>NF</t>
  </si>
  <si>
    <t>INE804I074Y7</t>
  </si>
  <si>
    <t>NG</t>
  </si>
  <si>
    <t>INE804I075Y4</t>
  </si>
  <si>
    <t>INE804I076Y2</t>
  </si>
  <si>
    <t>NI</t>
  </si>
  <si>
    <t>INE804I077Y0</t>
  </si>
  <si>
    <t>NJ</t>
  </si>
  <si>
    <t>INE804I078Y8</t>
  </si>
  <si>
    <t>NK</t>
  </si>
  <si>
    <t>INE804I079Y6</t>
  </si>
  <si>
    <t>NM</t>
  </si>
  <si>
    <t>INE804I075Z1</t>
  </si>
  <si>
    <t>NN</t>
  </si>
  <si>
    <t>INE804I076Z9</t>
  </si>
  <si>
    <t>NO</t>
  </si>
  <si>
    <t>INE804I077Z7</t>
  </si>
  <si>
    <t>INE804I078Z5</t>
  </si>
  <si>
    <t>INE804I079Z3</t>
  </si>
  <si>
    <t>NR</t>
  </si>
  <si>
    <t>INE804IA7014</t>
  </si>
  <si>
    <t>INE804IA7022</t>
  </si>
  <si>
    <t>EDL</t>
  </si>
  <si>
    <t>INE180G01019</t>
  </si>
  <si>
    <t>EDUCOMP</t>
  </si>
  <si>
    <t>INE216H01027</t>
  </si>
  <si>
    <t>EHFLNCD</t>
  </si>
  <si>
    <t>N3</t>
  </si>
  <si>
    <t>INE530L07194</t>
  </si>
  <si>
    <t>N4</t>
  </si>
  <si>
    <t>INE530L07202</t>
  </si>
  <si>
    <t>N5</t>
  </si>
  <si>
    <t>INE530L07210</t>
  </si>
  <si>
    <t>INE530L07228</t>
  </si>
  <si>
    <t>EIFFL</t>
  </si>
  <si>
    <t>INE546V01010</t>
  </si>
  <si>
    <t>EMBASSY</t>
  </si>
  <si>
    <t>RR</t>
  </si>
  <si>
    <t>INE041025011</t>
  </si>
  <si>
    <t>EMCO</t>
  </si>
  <si>
    <t>INE078A01026</t>
  </si>
  <si>
    <t>EMKAYTOOLS</t>
  </si>
  <si>
    <t>INE332S01011</t>
  </si>
  <si>
    <t>EMOFSR1RDP</t>
  </si>
  <si>
    <t>INF754K01IS7</t>
  </si>
  <si>
    <t>EMOFSR1RGG</t>
  </si>
  <si>
    <t>INF754K01IR9</t>
  </si>
  <si>
    <t>ERFLNCDI</t>
  </si>
  <si>
    <t>N1</t>
  </si>
  <si>
    <t>INE528S07078</t>
  </si>
  <si>
    <t>INE528S07086</t>
  </si>
  <si>
    <t>INE528S07102</t>
  </si>
  <si>
    <t>INE528S07110</t>
  </si>
  <si>
    <t>EUROCERA</t>
  </si>
  <si>
    <t>INE649H01011</t>
  </si>
  <si>
    <t>FELIX</t>
  </si>
  <si>
    <t>INE901X01013</t>
  </si>
  <si>
    <t>FOCUS</t>
  </si>
  <si>
    <t>INE593W01010</t>
  </si>
  <si>
    <t>GAYAHWS</t>
  </si>
  <si>
    <t>INE287Z01012</t>
  </si>
  <si>
    <t>GAYAPROJ</t>
  </si>
  <si>
    <t>INE336H01023</t>
  </si>
  <si>
    <t>GBGLOBAL</t>
  </si>
  <si>
    <t>INE087J01028</t>
  </si>
  <si>
    <t>GFSTEELS</t>
  </si>
  <si>
    <t>INE534A01028</t>
  </si>
  <si>
    <t>GLOBAL</t>
  </si>
  <si>
    <t>INE291W01011</t>
  </si>
  <si>
    <t>GODHA</t>
  </si>
  <si>
    <t>INE925Y01010</t>
  </si>
  <si>
    <t>GOENKA</t>
  </si>
  <si>
    <t>INE516K01024</t>
  </si>
  <si>
    <t>GRETEX</t>
  </si>
  <si>
    <t>INE985P01012</t>
  </si>
  <si>
    <t>HAVISHA</t>
  </si>
  <si>
    <t>INE293B01029</t>
  </si>
  <si>
    <t>HDIL</t>
  </si>
  <si>
    <t>INE191I01012</t>
  </si>
  <si>
    <t>HEOF1126RD</t>
  </si>
  <si>
    <t>INF179KB1T90</t>
  </si>
  <si>
    <t>HEXATRADEX</t>
  </si>
  <si>
    <t>INE750M01017</t>
  </si>
  <si>
    <t>HHOF1140RG</t>
  </si>
  <si>
    <t>INF179KB1W87</t>
  </si>
  <si>
    <t>HMT</t>
  </si>
  <si>
    <t>INE262A01018</t>
  </si>
  <si>
    <t>INE031A07840</t>
  </si>
  <si>
    <t>INE031A07832</t>
  </si>
  <si>
    <t>INE031A07857</t>
  </si>
  <si>
    <t>N8</t>
  </si>
  <si>
    <t>INE031A07AO5</t>
  </si>
  <si>
    <t>N9</t>
  </si>
  <si>
    <t>INE031A07AT4</t>
  </si>
  <si>
    <t>ND</t>
  </si>
  <si>
    <t>INE031A07949</t>
  </si>
  <si>
    <t>INE031A07AB2</t>
  </si>
  <si>
    <t>HUSYSLTD</t>
  </si>
  <si>
    <t>INE336T01010</t>
  </si>
  <si>
    <t>INE148I07GJ7</t>
  </si>
  <si>
    <t>NA</t>
  </si>
  <si>
    <t>INE148I07GL3</t>
  </si>
  <si>
    <t>E3</t>
  </si>
  <si>
    <t>IN9274G01034</t>
  </si>
  <si>
    <t>ICFL</t>
  </si>
  <si>
    <t>INE614X07027</t>
  </si>
  <si>
    <t>INE614X07035</t>
  </si>
  <si>
    <t>INE614X07043</t>
  </si>
  <si>
    <t>INE614X07050</t>
  </si>
  <si>
    <t>INE614X07076</t>
  </si>
  <si>
    <t>INE092T08CC6</t>
  </si>
  <si>
    <t>INE092T08CG7</t>
  </si>
  <si>
    <t>INE092T08CH5</t>
  </si>
  <si>
    <t>INE092T08CN3</t>
  </si>
  <si>
    <t>INE039A07801</t>
  </si>
  <si>
    <t>INE039A07850</t>
  </si>
  <si>
    <t>IIFCL</t>
  </si>
  <si>
    <t>INE787H07354</t>
  </si>
  <si>
    <t>INE787H07370</t>
  </si>
  <si>
    <t>IIFLFIN</t>
  </si>
  <si>
    <t>INE866I07CB0</t>
  </si>
  <si>
    <t>INE866I07CD6</t>
  </si>
  <si>
    <t>INE866I07CF1</t>
  </si>
  <si>
    <t>INE866I08295</t>
  </si>
  <si>
    <t>INE866I07CJ3</t>
  </si>
  <si>
    <t>NL</t>
  </si>
  <si>
    <t>INE866I07CL9</t>
  </si>
  <si>
    <t>IL&amp;FSENGG</t>
  </si>
  <si>
    <t>INE369I01014</t>
  </si>
  <si>
    <t>IL&amp;FSTRANS</t>
  </si>
  <si>
    <t>INE975G01012</t>
  </si>
  <si>
    <t>IMPEXFERRO</t>
  </si>
  <si>
    <t>INE691G01015</t>
  </si>
  <si>
    <t>INDIGRID</t>
  </si>
  <si>
    <t>IV</t>
  </si>
  <si>
    <t>INE219X23014</t>
  </si>
  <si>
    <t>INDLMETER</t>
  </si>
  <si>
    <t>INE065B01013</t>
  </si>
  <si>
    <t>INDOSOLAR</t>
  </si>
  <si>
    <t>INE866K01015</t>
  </si>
  <si>
    <t>INDOTHAI</t>
  </si>
  <si>
    <t>INE337M01013</t>
  </si>
  <si>
    <t>INDOWIND</t>
  </si>
  <si>
    <t>INE227G01018</t>
  </si>
  <si>
    <t>INNOVANA</t>
  </si>
  <si>
    <t>INE403Y01018</t>
  </si>
  <si>
    <t>INNOVATIVE</t>
  </si>
  <si>
    <t>INE070Y01015</t>
  </si>
  <si>
    <t>IRBINVIT</t>
  </si>
  <si>
    <t>INE183W23014</t>
  </si>
  <si>
    <t>IREDA</t>
  </si>
  <si>
    <t>INE202E07138</t>
  </si>
  <si>
    <t>INE202E07153</t>
  </si>
  <si>
    <t>IRFC</t>
  </si>
  <si>
    <t>INE053F07520</t>
  </si>
  <si>
    <t>INE053F07538</t>
  </si>
  <si>
    <t>INE053F07678</t>
  </si>
  <si>
    <t>INE053F07686</t>
  </si>
  <si>
    <t>INE053F07744</t>
  </si>
  <si>
    <t>INE053F07827</t>
  </si>
  <si>
    <t>INE053F07835</t>
  </si>
  <si>
    <t>INE053F07843</t>
  </si>
  <si>
    <t>INE053F07900</t>
  </si>
  <si>
    <t>ISFT</t>
  </si>
  <si>
    <t>INE566K01011</t>
  </si>
  <si>
    <t>JAINSTUDIO</t>
  </si>
  <si>
    <t>INE486B01011</t>
  </si>
  <si>
    <t>JALAN</t>
  </si>
  <si>
    <t>INE349X01015</t>
  </si>
  <si>
    <t>JAYNECOIND</t>
  </si>
  <si>
    <t>INE854B01010</t>
  </si>
  <si>
    <t>JETAIRWAYS</t>
  </si>
  <si>
    <t>INE802G01018</t>
  </si>
  <si>
    <t>JETFREIGHT</t>
  </si>
  <si>
    <t>INE982V01017</t>
  </si>
  <si>
    <t>JIKIND</t>
  </si>
  <si>
    <t>INE026B01049</t>
  </si>
  <si>
    <t>JISLDVREQS</t>
  </si>
  <si>
    <t>IN9175A01010</t>
  </si>
  <si>
    <t>JISLJALEQS</t>
  </si>
  <si>
    <t>INE175A01038</t>
  </si>
  <si>
    <t>JITFINFRA</t>
  </si>
  <si>
    <t>INE863T01013</t>
  </si>
  <si>
    <t>JVLAGRO</t>
  </si>
  <si>
    <t>INE430G01026</t>
  </si>
  <si>
    <t>KALYANIFRG</t>
  </si>
  <si>
    <t>INE314G01014</t>
  </si>
  <si>
    <t>KANANIIND</t>
  </si>
  <si>
    <t>INE879E01037</t>
  </si>
  <si>
    <t>KARDA</t>
  </si>
  <si>
    <t>INE278R01018</t>
  </si>
  <si>
    <t>KELLTONTEC</t>
  </si>
  <si>
    <t>INE164B01022</t>
  </si>
  <si>
    <t>KERNEX</t>
  </si>
  <si>
    <t>INE202H01019</t>
  </si>
  <si>
    <t>KGL</t>
  </si>
  <si>
    <t>INE299C01024</t>
  </si>
  <si>
    <t>KOHINOOR</t>
  </si>
  <si>
    <t>INE080B01012</t>
  </si>
  <si>
    <t>KRIDHANINF</t>
  </si>
  <si>
    <t>INE524L01026</t>
  </si>
  <si>
    <t>KRISHANA</t>
  </si>
  <si>
    <t>INE506W01012</t>
  </si>
  <si>
    <t>KSERASERA</t>
  </si>
  <si>
    <t>INE216D01026</t>
  </si>
  <si>
    <t>L&amp;TFINANCE</t>
  </si>
  <si>
    <t>INE027E07899</t>
  </si>
  <si>
    <t>INE027E07931</t>
  </si>
  <si>
    <t>INE027E07956</t>
  </si>
  <si>
    <t>INE027E07972</t>
  </si>
  <si>
    <t>INE027E07AF3</t>
  </si>
  <si>
    <t>INE027E07AJ5</t>
  </si>
  <si>
    <t>INE027E07AS6</t>
  </si>
  <si>
    <t>Y1</t>
  </si>
  <si>
    <t>INE027E07AU2</t>
  </si>
  <si>
    <t>Y3</t>
  </si>
  <si>
    <t>INE027E07AW8</t>
  </si>
  <si>
    <t>Y5</t>
  </si>
  <si>
    <t>INE027E07AY4</t>
  </si>
  <si>
    <t>Y6</t>
  </si>
  <si>
    <t>INE027E07AZ1</t>
  </si>
  <si>
    <t>Y7</t>
  </si>
  <si>
    <t>INE027E07BA2</t>
  </si>
  <si>
    <t>L&amp;TINFRA</t>
  </si>
  <si>
    <t>INE691I07174</t>
  </si>
  <si>
    <t>INE691I07182</t>
  </si>
  <si>
    <t>INE691I07190</t>
  </si>
  <si>
    <t>INE691I07224</t>
  </si>
  <si>
    <t>INE691I07232</t>
  </si>
  <si>
    <t>LEXUS</t>
  </si>
  <si>
    <t>INE500X01013</t>
  </si>
  <si>
    <t>LPDC</t>
  </si>
  <si>
    <t>INE197J01017</t>
  </si>
  <si>
    <t>LTMFEOFR</t>
  </si>
  <si>
    <t>INF917K01ZL9</t>
  </si>
  <si>
    <t>INE774D08MA6</t>
  </si>
  <si>
    <t>M17RG</t>
  </si>
  <si>
    <t>INF903JA1BF0</t>
  </si>
  <si>
    <t>MACPOWER</t>
  </si>
  <si>
    <t>INE155Z01011</t>
  </si>
  <si>
    <t>MADHUCON</t>
  </si>
  <si>
    <t>INE378D01032</t>
  </si>
  <si>
    <t>MAHAPEXLTD</t>
  </si>
  <si>
    <t>INE843B01013</t>
  </si>
  <si>
    <t>MAHICKRA</t>
  </si>
  <si>
    <t>INE961Y01015</t>
  </si>
  <si>
    <t>MANGALAM</t>
  </si>
  <si>
    <t>INE584F01014</t>
  </si>
  <si>
    <t>MARINE</t>
  </si>
  <si>
    <t>INE01JE01010</t>
  </si>
  <si>
    <t>MARSHALL</t>
  </si>
  <si>
    <t>INE00SZ01018</t>
  </si>
  <si>
    <t>MASKINVEST</t>
  </si>
  <si>
    <t>INE885F01015</t>
  </si>
  <si>
    <t>MBAPL</t>
  </si>
  <si>
    <t>INE900L01010</t>
  </si>
  <si>
    <t>MBECL</t>
  </si>
  <si>
    <t>INE748A01016</t>
  </si>
  <si>
    <t>MBLINFRA</t>
  </si>
  <si>
    <t>INE912H01013</t>
  </si>
  <si>
    <t>MCL</t>
  </si>
  <si>
    <t>INE813V01022</t>
  </si>
  <si>
    <t>MCLEODRUSS</t>
  </si>
  <si>
    <t>INE942G01012</t>
  </si>
  <si>
    <t>MDL</t>
  </si>
  <si>
    <t>INE575Z01010</t>
  </si>
  <si>
    <t>MELSTAR</t>
  </si>
  <si>
    <t>INE817A01019</t>
  </si>
  <si>
    <t>MEP</t>
  </si>
  <si>
    <t>INE776I01010</t>
  </si>
  <si>
    <t>MERCATOR</t>
  </si>
  <si>
    <t>INE934B01028</t>
  </si>
  <si>
    <t>METKORE</t>
  </si>
  <si>
    <t>INE592I01029</t>
  </si>
  <si>
    <t>MGEL</t>
  </si>
  <si>
    <t>INE0APB01016</t>
  </si>
  <si>
    <t>MHHL</t>
  </si>
  <si>
    <t>INE450S01011</t>
  </si>
  <si>
    <t>MILTON</t>
  </si>
  <si>
    <t>INE376Y01016</t>
  </si>
  <si>
    <t>MKPL</t>
  </si>
  <si>
    <t>INE964W01013</t>
  </si>
  <si>
    <t>MODIRUBBER</t>
  </si>
  <si>
    <t>INE832A01018</t>
  </si>
  <si>
    <t>MOHITIND</t>
  </si>
  <si>
    <t>INE954E01012</t>
  </si>
  <si>
    <t>MOKSH</t>
  </si>
  <si>
    <t>INE514Y01012</t>
  </si>
  <si>
    <t>NABARD</t>
  </si>
  <si>
    <t>INE261F07032</t>
  </si>
  <si>
    <t>NDTV</t>
  </si>
  <si>
    <t>INE155G01029</t>
  </si>
  <si>
    <t>NEXTMEDIA</t>
  </si>
  <si>
    <t>INE747B01016</t>
  </si>
  <si>
    <t>NHAI</t>
  </si>
  <si>
    <t>INE906B07CA1</t>
  </si>
  <si>
    <t>INE906B07CB9</t>
  </si>
  <si>
    <t>INE906B07DD3</t>
  </si>
  <si>
    <t>INE906B07DF8</t>
  </si>
  <si>
    <t>INE906B07EH2</t>
  </si>
  <si>
    <t>INE906B07EJ8</t>
  </si>
  <si>
    <t>INE906B07EP5</t>
  </si>
  <si>
    <t>NHBTF2014</t>
  </si>
  <si>
    <t>INE557F07132</t>
  </si>
  <si>
    <t>NHBTF2023</t>
  </si>
  <si>
    <t>INE557F07181</t>
  </si>
  <si>
    <t>INE848E07559</t>
  </si>
  <si>
    <t>NITINFIRE</t>
  </si>
  <si>
    <t>INE489H01020</t>
  </si>
  <si>
    <t>NKIND</t>
  </si>
  <si>
    <t>INE542C01019</t>
  </si>
  <si>
    <t>NORBTEAEXP</t>
  </si>
  <si>
    <t>INE369C01017</t>
  </si>
  <si>
    <t>INE733E07JE0</t>
  </si>
  <si>
    <t>INE733E07JH3</t>
  </si>
  <si>
    <t>INE733E07JJ9</t>
  </si>
  <si>
    <t>N7</t>
  </si>
  <si>
    <t>INE733E07JP6</t>
  </si>
  <si>
    <t>OMKARCHEM</t>
  </si>
  <si>
    <t>INE474L01016</t>
  </si>
  <si>
    <t>OPTIEMUS</t>
  </si>
  <si>
    <t>INE350C01017</t>
  </si>
  <si>
    <t>OPTOCIRCUI</t>
  </si>
  <si>
    <t>INE808B01016</t>
  </si>
  <si>
    <t>ORTEL</t>
  </si>
  <si>
    <t>INE849L01019</t>
  </si>
  <si>
    <t>OSWALSEEDS</t>
  </si>
  <si>
    <t>INE00IK01011</t>
  </si>
  <si>
    <t>PAR</t>
  </si>
  <si>
    <t>INE04LG01015</t>
  </si>
  <si>
    <t>PARABDRUGS</t>
  </si>
  <si>
    <t>INE618H01016</t>
  </si>
  <si>
    <t>PARSVNATH</t>
  </si>
  <si>
    <t>INE561H01026</t>
  </si>
  <si>
    <t>INE134E07190</t>
  </si>
  <si>
    <t>INE134E07208</t>
  </si>
  <si>
    <t>INE134E07422</t>
  </si>
  <si>
    <t>INE134E07463</t>
  </si>
  <si>
    <t>PKTEA</t>
  </si>
  <si>
    <t>INE431F01018</t>
  </si>
  <si>
    <t>POKARNA</t>
  </si>
  <si>
    <t>INE637C01025</t>
  </si>
  <si>
    <t>PRAKASHSTL</t>
  </si>
  <si>
    <t>INE696K01024</t>
  </si>
  <si>
    <t>PULZ</t>
  </si>
  <si>
    <t>INE335X01014</t>
  </si>
  <si>
    <t>PUNJLLOYD</t>
  </si>
  <si>
    <t>INE701B01021</t>
  </si>
  <si>
    <t>RAJRAYON</t>
  </si>
  <si>
    <t>INE533D01024</t>
  </si>
  <si>
    <t>RAMSARUP</t>
  </si>
  <si>
    <t>INE005D01015</t>
  </si>
  <si>
    <t>RCOM</t>
  </si>
  <si>
    <t>INE330H01018</t>
  </si>
  <si>
    <t>INE020B07HS2</t>
  </si>
  <si>
    <t>INE020B07GH7</t>
  </si>
  <si>
    <t>RELCAPITAL</t>
  </si>
  <si>
    <t>INE013A01015</t>
  </si>
  <si>
    <t>RELIABLE</t>
  </si>
  <si>
    <t>INE375Y01018</t>
  </si>
  <si>
    <t>REPL</t>
  </si>
  <si>
    <t>INE364Z01019</t>
  </si>
  <si>
    <t>RHFL</t>
  </si>
  <si>
    <t>INE217K01011</t>
  </si>
  <si>
    <t>INE217K07AE0</t>
  </si>
  <si>
    <t>INE217K07AG5</t>
  </si>
  <si>
    <t>INE217K08289</t>
  </si>
  <si>
    <t>RKEC</t>
  </si>
  <si>
    <t>INE786W01010</t>
  </si>
  <si>
    <t>RMCL</t>
  </si>
  <si>
    <t>INE172H01014</t>
  </si>
  <si>
    <t>RMDRIP</t>
  </si>
  <si>
    <t>INE219Y01018</t>
  </si>
  <si>
    <t>ROLLT</t>
  </si>
  <si>
    <t>INE927A01040</t>
  </si>
  <si>
    <t>RPPL</t>
  </si>
  <si>
    <t>INE760W01015</t>
  </si>
  <si>
    <t>RUCHI</t>
  </si>
  <si>
    <t>INE619A01035</t>
  </si>
  <si>
    <t>RUCHINFRA</t>
  </si>
  <si>
    <t>INE413B01023</t>
  </si>
  <si>
    <t>S&amp;SPOWER</t>
  </si>
  <si>
    <t>INE902B01017</t>
  </si>
  <si>
    <t>SABEVENTS</t>
  </si>
  <si>
    <t>INE860T01019</t>
  </si>
  <si>
    <t>SABTN</t>
  </si>
  <si>
    <t>INE416A01036</t>
  </si>
  <si>
    <t>SAKUMA</t>
  </si>
  <si>
    <t>INE190H01024</t>
  </si>
  <si>
    <t>SALASAR</t>
  </si>
  <si>
    <t>INE170V01019</t>
  </si>
  <si>
    <t>SALSTEEL</t>
  </si>
  <si>
    <t>INE658G01014</t>
  </si>
  <si>
    <t>SANWARIA</t>
  </si>
  <si>
    <t>INE890C01046</t>
  </si>
  <si>
    <t>SARVESHWAR</t>
  </si>
  <si>
    <t>INE324X01018</t>
  </si>
  <si>
    <t>INE062A08025</t>
  </si>
  <si>
    <t>INE062A08058</t>
  </si>
  <si>
    <t>INE062A08066</t>
  </si>
  <si>
    <t>SCHAND</t>
  </si>
  <si>
    <t>INE807K01035</t>
  </si>
  <si>
    <t>SDAFXXVGR</t>
  </si>
  <si>
    <t>INF200KA1RQ0</t>
  </si>
  <si>
    <t>SDBL</t>
  </si>
  <si>
    <t>INE480C01012</t>
  </si>
  <si>
    <t>SECL</t>
  </si>
  <si>
    <t>INE00Y701018</t>
  </si>
  <si>
    <t>SECURCRED</t>
  </si>
  <si>
    <t>INE195Y01010</t>
  </si>
  <si>
    <t>SEPOWER</t>
  </si>
  <si>
    <t>INE735M01018</t>
  </si>
  <si>
    <t>SERVOTECH</t>
  </si>
  <si>
    <t>INE782X01017</t>
  </si>
  <si>
    <t>SETUINFRA</t>
  </si>
  <si>
    <t>INE023M01027</t>
  </si>
  <si>
    <t>SGBAPR28I</t>
  </si>
  <si>
    <t>GB</t>
  </si>
  <si>
    <t>IN0020200062</t>
  </si>
  <si>
    <t>SGBAUG24</t>
  </si>
  <si>
    <t>IN0020160027</t>
  </si>
  <si>
    <t>SGBAUG27</t>
  </si>
  <si>
    <t>IN0020190107</t>
  </si>
  <si>
    <t>SGBDC27VII</t>
  </si>
  <si>
    <t>IN0020190461</t>
  </si>
  <si>
    <t>SGBDEC25</t>
  </si>
  <si>
    <t>IN0020170125</t>
  </si>
  <si>
    <t>SGBDEC2512</t>
  </si>
  <si>
    <t>IN0020170141</t>
  </si>
  <si>
    <t>SGBFEB24</t>
  </si>
  <si>
    <t>IN0020150101</t>
  </si>
  <si>
    <t>SGBFEB27</t>
  </si>
  <si>
    <t>IN0020180561</t>
  </si>
  <si>
    <t>SGBFEB28IX</t>
  </si>
  <si>
    <t>IN0020190545</t>
  </si>
  <si>
    <t>SGBJ28VIII</t>
  </si>
  <si>
    <t>IN0020190537</t>
  </si>
  <si>
    <t>SGBJAN26</t>
  </si>
  <si>
    <t>IN0020170166</t>
  </si>
  <si>
    <t>SGBJAN27</t>
  </si>
  <si>
    <t>IN0020180462</t>
  </si>
  <si>
    <t>SGBJUL25</t>
  </si>
  <si>
    <t>IN0020170034</t>
  </si>
  <si>
    <t>SGBJUL27</t>
  </si>
  <si>
    <t>IN0020190081</t>
  </si>
  <si>
    <t>SGBJUN27</t>
  </si>
  <si>
    <t>IN0020190073</t>
  </si>
  <si>
    <t>SGBMAR24</t>
  </si>
  <si>
    <t>IN0020150119</t>
  </si>
  <si>
    <t>SGBMAR25</t>
  </si>
  <si>
    <t>IN0020160126</t>
  </si>
  <si>
    <t>SGBMAR28X</t>
  </si>
  <si>
    <t>IN0020190552</t>
  </si>
  <si>
    <t>SGBMAY25</t>
  </si>
  <si>
    <t>IN0020170018</t>
  </si>
  <si>
    <t>SGBMAY26</t>
  </si>
  <si>
    <t>IN0020180033</t>
  </si>
  <si>
    <t>SGBMAY28</t>
  </si>
  <si>
    <t>IN0020200088</t>
  </si>
  <si>
    <t>SGBNOV23</t>
  </si>
  <si>
    <t>IN0020150085</t>
  </si>
  <si>
    <t>SGBNOV24</t>
  </si>
  <si>
    <t>IN0020160076</t>
  </si>
  <si>
    <t>SGBNOV25</t>
  </si>
  <si>
    <t>IN0020170091</t>
  </si>
  <si>
    <t>SGBNOV258</t>
  </si>
  <si>
    <t>IN0020170109</t>
  </si>
  <si>
    <t>SGBNOV26</t>
  </si>
  <si>
    <t>IN0020180314</t>
  </si>
  <si>
    <t>SGBOCT25</t>
  </si>
  <si>
    <t>IN0020170059</t>
  </si>
  <si>
    <t>SGBOCT25IV</t>
  </si>
  <si>
    <t>IN0020170067</t>
  </si>
  <si>
    <t>SGBOCT25V</t>
  </si>
  <si>
    <t>IN0020170075</t>
  </si>
  <si>
    <t>SGBOCT26</t>
  </si>
  <si>
    <t>IN0020180249</t>
  </si>
  <si>
    <t>SGBOCT27</t>
  </si>
  <si>
    <t>IN0020190370</t>
  </si>
  <si>
    <t>SGBOCT27VI</t>
  </si>
  <si>
    <t>IN0020190388</t>
  </si>
  <si>
    <t>SGBSEP24</t>
  </si>
  <si>
    <t>IN0020160043</t>
  </si>
  <si>
    <t>SGBSEP27</t>
  </si>
  <si>
    <t>IN0020190115</t>
  </si>
  <si>
    <t>SHRIPISTON</t>
  </si>
  <si>
    <t>INE526E01018</t>
  </si>
  <si>
    <t>SHUBHLAXMI</t>
  </si>
  <si>
    <t>INE01Z401013</t>
  </si>
  <si>
    <t>SHYAMCENT</t>
  </si>
  <si>
    <t>INE979R01011</t>
  </si>
  <si>
    <t>SIL</t>
  </si>
  <si>
    <t>INE173A01025</t>
  </si>
  <si>
    <t>SINTEX</t>
  </si>
  <si>
    <t>INE429C01035</t>
  </si>
  <si>
    <t>SITINET</t>
  </si>
  <si>
    <t>INE965H01011</t>
  </si>
  <si>
    <t>SKIL</t>
  </si>
  <si>
    <t>INE429F01012</t>
  </si>
  <si>
    <t>SONISOYA</t>
  </si>
  <si>
    <t>INE301Z01011</t>
  </si>
  <si>
    <t>SOUTHWEST</t>
  </si>
  <si>
    <t>INE980Y01015</t>
  </si>
  <si>
    <t>SPENTEX</t>
  </si>
  <si>
    <t>INE376C01020</t>
  </si>
  <si>
    <t>SPTL</t>
  </si>
  <si>
    <t>INE501W01021</t>
  </si>
  <si>
    <t>SREIBNPNCD</t>
  </si>
  <si>
    <t>INE881J07EN8</t>
  </si>
  <si>
    <t>NU</t>
  </si>
  <si>
    <t>INE881J08631</t>
  </si>
  <si>
    <t>INE872A07UA9</t>
  </si>
  <si>
    <t>INE872A07UI2</t>
  </si>
  <si>
    <t>INE872A07UP7</t>
  </si>
  <si>
    <t>INE721A07GT7</t>
  </si>
  <si>
    <t>INE721A07GW1</t>
  </si>
  <si>
    <t>Y9</t>
  </si>
  <si>
    <t>INE721A07HJ6</t>
  </si>
  <si>
    <t>YB</t>
  </si>
  <si>
    <t>INE721A07HL2</t>
  </si>
  <si>
    <t>YI</t>
  </si>
  <si>
    <t>INE721A07NU1</t>
  </si>
  <si>
    <t>YK</t>
  </si>
  <si>
    <t>INE721A07NW7</t>
  </si>
  <si>
    <t>YL</t>
  </si>
  <si>
    <t>INE721A07NX5</t>
  </si>
  <si>
    <t>YM</t>
  </si>
  <si>
    <t>INE721A07NY3</t>
  </si>
  <si>
    <t>YN</t>
  </si>
  <si>
    <t>INE721A07NZ0</t>
  </si>
  <si>
    <t>YO</t>
  </si>
  <si>
    <t>INE721A07OB9</t>
  </si>
  <si>
    <t>YQ</t>
  </si>
  <si>
    <t>INE721A07OD5</t>
  </si>
  <si>
    <t>YR</t>
  </si>
  <si>
    <t>INE721A07OE3</t>
  </si>
  <si>
    <t>YS</t>
  </si>
  <si>
    <t>INE721A07OF0</t>
  </si>
  <si>
    <t>YT</t>
  </si>
  <si>
    <t>INE721A07OG8</t>
  </si>
  <si>
    <t>YV</t>
  </si>
  <si>
    <t>INE721A07OM6</t>
  </si>
  <si>
    <t>YX</t>
  </si>
  <si>
    <t>INE721A07OO2</t>
  </si>
  <si>
    <t>YY</t>
  </si>
  <si>
    <t>INE721A07OP9</t>
  </si>
  <si>
    <t>YZ</t>
  </si>
  <si>
    <t>INE721A07OQ7</t>
  </si>
  <si>
    <t>Z2</t>
  </si>
  <si>
    <t>INE721A07OS3</t>
  </si>
  <si>
    <t>Z3</t>
  </si>
  <si>
    <t>INE721A07OY1</t>
  </si>
  <si>
    <t>Z8</t>
  </si>
  <si>
    <t>INE721A07PD2</t>
  </si>
  <si>
    <t>Z9</t>
  </si>
  <si>
    <t>INE721A07PE0</t>
  </si>
  <si>
    <t>SSINFRA</t>
  </si>
  <si>
    <t>INE182Z01015</t>
  </si>
  <si>
    <t>STAN</t>
  </si>
  <si>
    <t>DR</t>
  </si>
  <si>
    <t>INE028L21018</t>
  </si>
  <si>
    <t>STINDIA</t>
  </si>
  <si>
    <t>INE090C01019</t>
  </si>
  <si>
    <t>SUBEX</t>
  </si>
  <si>
    <t>INE754A01014</t>
  </si>
  <si>
    <t>SUMIT</t>
  </si>
  <si>
    <t>INE748Z01013</t>
  </si>
  <si>
    <t>SUPREMEINF</t>
  </si>
  <si>
    <t>INE550H01011</t>
  </si>
  <si>
    <t>SURANI</t>
  </si>
  <si>
    <t>INE01ZJ01015</t>
  </si>
  <si>
    <t>SURYALAXMI</t>
  </si>
  <si>
    <t>INE713B01026</t>
  </si>
  <si>
    <t>SYNCOM</t>
  </si>
  <si>
    <t>INE602K01014</t>
  </si>
  <si>
    <t>TALWALKARS</t>
  </si>
  <si>
    <t>INE502K01016</t>
  </si>
  <si>
    <t>TALWGYM</t>
  </si>
  <si>
    <t>INE627Z01019</t>
  </si>
  <si>
    <t>TARACHAND</t>
  </si>
  <si>
    <t>INE555Z01012</t>
  </si>
  <si>
    <t>TATACAPHSG</t>
  </si>
  <si>
    <t>INE033L07GM9</t>
  </si>
  <si>
    <t>TCFSL</t>
  </si>
  <si>
    <t>INE306N07KC8</t>
  </si>
  <si>
    <t>NB</t>
  </si>
  <si>
    <t>INE306N07KD6</t>
  </si>
  <si>
    <t>INE306N07KF1</t>
  </si>
  <si>
    <t>INE306N08292</t>
  </si>
  <si>
    <t>INE306N07LI3</t>
  </si>
  <si>
    <t>INE306N07LM5</t>
  </si>
  <si>
    <t>THIRUSUGAR</t>
  </si>
  <si>
    <t>INE409A01015</t>
  </si>
  <si>
    <t>TIRUPATIFL</t>
  </si>
  <si>
    <t>INE319Y01016</t>
  </si>
  <si>
    <t>TNTELE</t>
  </si>
  <si>
    <t>INE141D01018</t>
  </si>
  <si>
    <t>TOTAL</t>
  </si>
  <si>
    <t>INE336X01012</t>
  </si>
  <si>
    <t>TOUCHWOOD</t>
  </si>
  <si>
    <t>INE486Y01013</t>
  </si>
  <si>
    <t>TRANSWIND</t>
  </si>
  <si>
    <t>INE792X01016</t>
  </si>
  <si>
    <t>UBSG1GP</t>
  </si>
  <si>
    <t>INF090I01VG8</t>
  </si>
  <si>
    <t>UNITECH</t>
  </si>
  <si>
    <t>INE694A01020</t>
  </si>
  <si>
    <t>UNITY</t>
  </si>
  <si>
    <t>INE466H01028</t>
  </si>
  <si>
    <t>UVSL</t>
  </si>
  <si>
    <t>INE292A01023</t>
  </si>
  <si>
    <t>VENUSREM</t>
  </si>
  <si>
    <t>INE411B01019</t>
  </si>
  <si>
    <t>VICEROY</t>
  </si>
  <si>
    <t>INE048C01017</t>
  </si>
  <si>
    <t>VIDEOIND</t>
  </si>
  <si>
    <t>INE703A01011</t>
  </si>
  <si>
    <t>VIKASMCORP</t>
  </si>
  <si>
    <t>INE161L01027</t>
  </si>
  <si>
    <t>VISHAL</t>
  </si>
  <si>
    <t>INE755Q01025</t>
  </si>
  <si>
    <t>WANBURY</t>
  </si>
  <si>
    <t>INE107F01022</t>
  </si>
  <si>
    <t>WFL</t>
  </si>
  <si>
    <t>INE02WG01016</t>
  </si>
  <si>
    <t>WIPL</t>
  </si>
  <si>
    <t>INE215F01023</t>
  </si>
  <si>
    <t>WORTH</t>
  </si>
  <si>
    <t>INE196Y01018</t>
  </si>
  <si>
    <t>P2</t>
  </si>
  <si>
    <t>INE256A04022</t>
  </si>
  <si>
    <t>ZODIAC</t>
  </si>
  <si>
    <t>INE761Y01019</t>
  </si>
  <si>
    <t>conditional format</t>
  </si>
  <si>
    <t>Rule=OR(G2&lt;F2,H2&lt;G2)</t>
  </si>
  <si>
    <t>Format = Color</t>
  </si>
  <si>
    <t>Applies To =$B$2:$B$48</t>
  </si>
  <si>
    <t xml:space="preserve">Buy </t>
  </si>
  <si>
    <t>A+SellQty</t>
  </si>
  <si>
    <t>LTU- Keep in profile</t>
  </si>
  <si>
    <t>Buy</t>
  </si>
  <si>
    <t>100, 140</t>
  </si>
  <si>
    <t>93, 117 - LTD-MTD-STU</t>
  </si>
  <si>
    <t>remove this due to Bhuv copy duplicate</t>
  </si>
  <si>
    <t>NBQ</t>
  </si>
  <si>
    <t>LT-U</t>
  </si>
  <si>
    <t>come out and remove from portfolio</t>
  </si>
  <si>
    <t>LT-D</t>
  </si>
  <si>
    <t>sell for 108</t>
  </si>
  <si>
    <t>Column</t>
  </si>
  <si>
    <t>TB:trade_date</t>
  </si>
  <si>
    <t>TB:tradingsymbol</t>
  </si>
  <si>
    <t>TB:exchange</t>
  </si>
  <si>
    <t>TB:segment</t>
  </si>
  <si>
    <t>TB:type</t>
  </si>
  <si>
    <t>TB:quantity</t>
  </si>
  <si>
    <t>TB:price</t>
  </si>
  <si>
    <t>TB:order_id</t>
  </si>
  <si>
    <t>TB:trade_id</t>
  </si>
  <si>
    <t>TB:order_execution_time</t>
  </si>
  <si>
    <t>TB:TradeValue</t>
  </si>
  <si>
    <t>TB:Symbol</t>
  </si>
  <si>
    <t>TB:AvgQty</t>
  </si>
  <si>
    <t>TB:AvgPrice</t>
  </si>
  <si>
    <t>TB:InvAmount</t>
  </si>
  <si>
    <t>TB:PL</t>
  </si>
  <si>
    <t>TB:MM</t>
  </si>
  <si>
    <t>TB:Holdings</t>
  </si>
  <si>
    <t>Downloaded from zerodha Trade Book</t>
  </si>
  <si>
    <t>=(F2*G2)</t>
  </si>
  <si>
    <t>=B2</t>
  </si>
  <si>
    <t>=IF(AND(E2="buy", B1&lt;&gt;B2),F2,IF(E2="buy",M1+F2,M1-F2))</t>
  </si>
  <si>
    <t>=IF(OR(B1&lt;&gt;B2,M1=0),G2,IF(E2="sell",N1,(((F2*G2)+(F1*G1))/(F2+F1))))</t>
  </si>
  <si>
    <t>=(M2*N2)</t>
  </si>
  <si>
    <t>=IF(E2="sell",(F2*G2)-(N1*F2),"")</t>
  </si>
  <si>
    <t>=LEFT(J2,7)</t>
  </si>
  <si>
    <t>=IF(IF(B2=B3,0,M2)=0,"",M2)</t>
  </si>
  <si>
    <t>RM:Sheets</t>
  </si>
  <si>
    <t>RM:Name</t>
  </si>
  <si>
    <t>RM:Purpose</t>
  </si>
  <si>
    <t>RM:Remarks</t>
  </si>
  <si>
    <t>To copy to Holding added one more time here</t>
  </si>
  <si>
    <t>Profit &amp; Loss</t>
  </si>
  <si>
    <t>At any point of time to know holdings - filter only &gt; 0</t>
  </si>
  <si>
    <t>Copy from nse india, filter to EQ, paste here</t>
  </si>
  <si>
    <t>Copy from Trade Book Report downloaded as CSV - paste here</t>
  </si>
  <si>
    <t xml:space="preserve">Copy from TB L to O columns by filtering Holding &lt;&gt;0 </t>
  </si>
  <si>
    <t>How to use daily</t>
  </si>
  <si>
    <t>1) Copy the bhuvcopy with filter of "EQ" and paste it in Bhuv Sheet
2) Download Trade Book as csv  from Kite Zerhodh, then paste it in end of TB and copy the formula for rest of columns.  Then sort based  on Symbol, Date ASC
3) Filter TB for Holding &lt;&gt; 0 , then copy L to O columns and paste it in Holdings Sheet
4) These all reflect in WL (Watchlist) - color will be changed on symbol  based on Stop Loss / Profit Stop Loss  - need to decide those stocks whether buy or sell.  Buy Qty NBQ.  This will be  A+A+A stock - A+SQ is when it reach resistance sell one part ie A+SellQty</t>
  </si>
  <si>
    <t>First read 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</si>
</sst>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_);[Red]\(0.00\)"/>
    <numFmt numFmtId="165" formatCode="0_);[Red]\(0\)"/>
    <numFmt numFmtId="166" formatCode="[$-409]d\-mmm\-yy;@"/>
  </numFmts>
  <fonts count="6"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sz val="10"/>
      <color theme="1"/>
      <name val="Arial Black"/>
      <family val="2"/>
    </font>
  </fonts>
  <fills count="8">
    <fill>
      <patternFill patternType="none"/>
    </fill>
    <fill>
      <patternFill patternType="gray125"/>
    </fill>
    <fill>
      <patternFill patternType="solid">
        <fgColor rgb="FFB2B2B2"/>
        <bgColor indexed="64"/>
      </patternFill>
    </fill>
    <fill>
      <patternFill patternType="solid">
        <fgColor rgb="FF92D050"/>
        <bgColor indexed="64"/>
      </patternFill>
    </fill>
    <fill>
      <patternFill patternType="solid">
        <fgColor theme="9" tint="0.59999389629810485"/>
        <bgColor indexed="64"/>
      </patternFill>
    </fill>
    <fill>
      <patternFill patternType="solid">
        <fgColor indexed="13"/>
        <bgColor indexed="64"/>
      </patternFill>
    </fill>
    <fill>
      <patternFill patternType="solid">
        <fgColor rgb="FFDDDDDD"/>
        <bgColor indexed="64"/>
      </patternFill>
    </fill>
    <fill>
      <patternFill patternType="solid">
        <fgColor indexed="1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4" fillId="0" borderId="0" applyNumberFormat="0" applyFill="0" applyBorder="0" applyAlignment="0" applyProtection="0"/>
  </cellStyleXfs>
  <cellXfs count="52">
    <xf numFmtId="0" fontId="0" fillId="0" borderId="0" xfId="0"/>
    <xf numFmtId="164" fontId="0" fillId="0" borderId="0" xfId="0" applyNumberFormat="1"/>
    <xf numFmtId="2" fontId="0" fillId="0" borderId="0" xfId="0" applyNumberFormat="1"/>
    <xf numFmtId="164" fontId="0" fillId="2" borderId="0" xfId="0" applyNumberFormat="1" applyFill="1"/>
    <xf numFmtId="2" fontId="0" fillId="2" borderId="0" xfId="0" applyNumberFormat="1" applyFill="1"/>
    <xf numFmtId="14" fontId="0" fillId="0" borderId="0" xfId="0" applyNumberFormat="1"/>
    <xf numFmtId="164" fontId="0" fillId="3" borderId="0" xfId="0" applyNumberFormat="1" applyFill="1"/>
    <xf numFmtId="0" fontId="0" fillId="3" borderId="0" xfId="0" applyFill="1"/>
    <xf numFmtId="2" fontId="0" fillId="3" borderId="0" xfId="0" applyNumberFormat="1" applyFill="1"/>
    <xf numFmtId="0" fontId="1" fillId="0" borderId="0" xfId="0" applyFont="1" applyAlignment="1">
      <alignment horizontal="center"/>
    </xf>
    <xf numFmtId="164" fontId="1" fillId="0" borderId="0" xfId="0" applyNumberFormat="1" applyFont="1" applyAlignment="1">
      <alignment horizontal="center"/>
    </xf>
    <xf numFmtId="0" fontId="1" fillId="0" borderId="0" xfId="0" applyFont="1" applyAlignment="1">
      <alignment horizontal="center" wrapText="1"/>
    </xf>
    <xf numFmtId="164" fontId="1" fillId="0" borderId="0" xfId="0" applyNumberFormat="1" applyFont="1" applyAlignment="1">
      <alignment horizontal="center" wrapText="1"/>
    </xf>
    <xf numFmtId="15" fontId="0" fillId="0" borderId="0" xfId="0" applyNumberFormat="1"/>
    <xf numFmtId="0" fontId="0" fillId="4" borderId="0" xfId="0" applyFill="1"/>
    <xf numFmtId="164" fontId="0" fillId="4" borderId="0" xfId="0" applyNumberFormat="1" applyFill="1"/>
    <xf numFmtId="0" fontId="0" fillId="5" borderId="0" xfId="0" applyFill="1"/>
    <xf numFmtId="0" fontId="0" fillId="0" borderId="1" xfId="0" applyBorder="1"/>
    <xf numFmtId="165" fontId="0" fillId="0" borderId="0" xfId="0" applyNumberFormat="1"/>
    <xf numFmtId="166" fontId="0" fillId="0" borderId="0" xfId="0" applyNumberFormat="1"/>
    <xf numFmtId="0" fontId="0" fillId="6" borderId="1" xfId="0" applyFill="1" applyBorder="1"/>
    <xf numFmtId="0" fontId="4" fillId="0" borderId="0" xfId="1"/>
    <xf numFmtId="0" fontId="0" fillId="0" borderId="0" xfId="0" applyAlignment="1">
      <alignment vertical="center"/>
    </xf>
    <xf numFmtId="0" fontId="0" fillId="0" borderId="0" xfId="0" applyAlignment="1">
      <alignment vertical="center" wrapText="1"/>
    </xf>
    <xf numFmtId="166" fontId="0" fillId="0" borderId="0" xfId="0" applyNumberFormat="1" applyFill="1"/>
    <xf numFmtId="0" fontId="0" fillId="0" borderId="0" xfId="0" applyFill="1"/>
    <xf numFmtId="164" fontId="0" fillId="0" borderId="0" xfId="0" applyNumberFormat="1" applyFill="1"/>
    <xf numFmtId="2" fontId="0" fillId="0" borderId="0" xfId="0" applyNumberFormat="1" applyFill="1"/>
    <xf numFmtId="165" fontId="0" fillId="0" borderId="0" xfId="0" applyNumberFormat="1" applyFill="1"/>
    <xf numFmtId="0" fontId="0" fillId="0" borderId="1" xfId="0" applyFill="1" applyBorder="1"/>
    <xf numFmtId="0" fontId="1" fillId="0" borderId="0" xfId="0" applyFont="1"/>
    <xf numFmtId="166" fontId="1" fillId="0" borderId="0" xfId="0" applyNumberFormat="1" applyFont="1"/>
    <xf numFmtId="0" fontId="0" fillId="0" borderId="2" xfId="0" applyFill="1" applyBorder="1"/>
    <xf numFmtId="166" fontId="0" fillId="0" borderId="1" xfId="0" applyNumberFormat="1" applyFill="1" applyBorder="1"/>
    <xf numFmtId="164" fontId="0" fillId="0" borderId="1" xfId="0" applyNumberFormat="1" applyFill="1" applyBorder="1"/>
    <xf numFmtId="2" fontId="0" fillId="0" borderId="1" xfId="0" applyNumberFormat="1" applyFill="1" applyBorder="1"/>
    <xf numFmtId="165" fontId="0" fillId="0" borderId="1" xfId="0" applyNumberFormat="1" applyFill="1" applyBorder="1"/>
    <xf numFmtId="0" fontId="1" fillId="0" borderId="0" xfId="0" applyFont="1" applyAlignment="1">
      <alignment horizontal="left"/>
    </xf>
    <xf numFmtId="0" fontId="0" fillId="0" borderId="0" xfId="0" quotePrefix="1"/>
    <xf numFmtId="164" fontId="1" fillId="0" borderId="0" xfId="0" applyNumberFormat="1" applyFont="1"/>
    <xf numFmtId="166" fontId="1" fillId="0" borderId="1" xfId="0" applyNumberFormat="1" applyFont="1" applyFill="1" applyBorder="1" applyAlignment="1">
      <alignment horizontal="left"/>
    </xf>
    <xf numFmtId="0" fontId="1" fillId="0" borderId="1" xfId="0" applyFont="1" applyFill="1" applyBorder="1" applyAlignment="1">
      <alignment horizontal="left"/>
    </xf>
    <xf numFmtId="164" fontId="1" fillId="0" borderId="1" xfId="0" applyNumberFormat="1" applyFont="1" applyFill="1" applyBorder="1" applyAlignment="1">
      <alignment horizontal="left"/>
    </xf>
    <xf numFmtId="0" fontId="5" fillId="0" borderId="1" xfId="0" applyFont="1" applyFill="1" applyBorder="1" applyAlignment="1">
      <alignment horizontal="left"/>
    </xf>
    <xf numFmtId="2" fontId="5" fillId="0" borderId="1" xfId="0" applyNumberFormat="1" applyFont="1" applyFill="1" applyBorder="1" applyAlignment="1">
      <alignment horizontal="left"/>
    </xf>
    <xf numFmtId="165" fontId="1" fillId="0" borderId="1" xfId="0" applyNumberFormat="1" applyFont="1" applyFill="1" applyBorder="1" applyAlignment="1">
      <alignment horizontal="left"/>
    </xf>
    <xf numFmtId="166" fontId="0" fillId="7" borderId="0" xfId="0" applyNumberFormat="1" applyFill="1"/>
    <xf numFmtId="0" fontId="0" fillId="7" borderId="0" xfId="0" applyFill="1"/>
    <xf numFmtId="164" fontId="0" fillId="7" borderId="0" xfId="0" applyNumberFormat="1" applyFill="1"/>
    <xf numFmtId="0" fontId="0" fillId="7" borderId="1" xfId="0" applyFill="1" applyBorder="1"/>
    <xf numFmtId="2" fontId="0" fillId="7" borderId="0" xfId="0" applyNumberFormat="1" applyFill="1"/>
    <xf numFmtId="165" fontId="0" fillId="7" borderId="0" xfId="0" applyNumberFormat="1" applyFill="1"/>
  </cellXfs>
  <cellStyles count="2">
    <cellStyle name="Hyperlink" xfId="1" builtinId="8"/>
    <cellStyle name="Normal" xfId="0" builtinId="0"/>
  </cellStyles>
  <dxfs count="1">
    <dxf>
      <font>
        <b/>
        <i val="0"/>
      </font>
      <fill>
        <patternFill>
          <bgColor theme="9" tint="0.79998168889431442"/>
        </patternFill>
      </fill>
    </dxf>
  </dxfs>
  <tableStyles count="0" defaultTableStyle="TableStyleMedium2" defaultPivotStyle="PivotStyleLight16"/>
  <colors>
    <mruColors>
      <color rgb="FFFFCCFF"/>
      <color rgb="FFDDDDDD"/>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0"/>
  <sheetViews>
    <sheetView tabSelected="1" workbookViewId="0">
      <selection activeCell="C3" sqref="C3"/>
    </sheetView>
  </sheetViews>
  <sheetFormatPr defaultRowHeight="14.5" x14ac:dyDescent="0.35"/>
  <cols>
    <col min="2" max="2" width="18.453125" bestFit="1" customWidth="1"/>
  </cols>
  <sheetData>
    <row r="1" spans="1:4" s="9" customFormat="1" x14ac:dyDescent="0.35">
      <c r="A1" s="9" t="s">
        <v>3322</v>
      </c>
      <c r="B1" s="9" t="s">
        <v>3325</v>
      </c>
      <c r="C1" s="9" t="s">
        <v>3323</v>
      </c>
      <c r="D1" s="9" t="s">
        <v>3126</v>
      </c>
    </row>
    <row r="2" spans="1:4" x14ac:dyDescent="0.35">
      <c r="A2" t="s">
        <v>3324</v>
      </c>
      <c r="B2" t="s">
        <v>3326</v>
      </c>
      <c r="C2" t="s">
        <v>4172</v>
      </c>
    </row>
    <row r="3" spans="1:4" x14ac:dyDescent="0.35">
      <c r="A3" s="21" t="s">
        <v>3328</v>
      </c>
      <c r="B3" t="s">
        <v>3327</v>
      </c>
      <c r="C3" t="s">
        <v>4167</v>
      </c>
    </row>
    <row r="4" spans="1:4" x14ac:dyDescent="0.35">
      <c r="A4" s="21" t="s">
        <v>3329</v>
      </c>
      <c r="B4" t="s">
        <v>3330</v>
      </c>
      <c r="C4" t="s">
        <v>4168</v>
      </c>
    </row>
    <row r="5" spans="1:4" x14ac:dyDescent="0.35">
      <c r="A5" s="21" t="s">
        <v>61</v>
      </c>
      <c r="B5" t="s">
        <v>61</v>
      </c>
      <c r="C5" t="s">
        <v>4169</v>
      </c>
    </row>
    <row r="6" spans="1:4" x14ac:dyDescent="0.35">
      <c r="A6" s="21" t="s">
        <v>3331</v>
      </c>
      <c r="B6" t="s">
        <v>3332</v>
      </c>
    </row>
    <row r="7" spans="1:4" x14ac:dyDescent="0.35">
      <c r="A7" s="21" t="s">
        <v>3334</v>
      </c>
      <c r="B7" t="s">
        <v>3333</v>
      </c>
    </row>
    <row r="8" spans="1:4" x14ac:dyDescent="0.35">
      <c r="A8" s="21" t="s">
        <v>13</v>
      </c>
      <c r="B8" t="s">
        <v>3336</v>
      </c>
    </row>
    <row r="9" spans="1:4" x14ac:dyDescent="0.35">
      <c r="A9" s="21" t="s">
        <v>3335</v>
      </c>
      <c r="B9" t="s">
        <v>3337</v>
      </c>
    </row>
    <row r="10" spans="1:4" x14ac:dyDescent="0.35">
      <c r="A10" s="21" t="s">
        <v>3338</v>
      </c>
      <c r="B10" t="s">
        <v>3339</v>
      </c>
    </row>
    <row r="11" spans="1:4" x14ac:dyDescent="0.35">
      <c r="A11" s="21" t="s">
        <v>3340</v>
      </c>
      <c r="B11" t="s">
        <v>3341</v>
      </c>
    </row>
    <row r="12" spans="1:4" x14ac:dyDescent="0.35">
      <c r="A12" s="21" t="s">
        <v>3342</v>
      </c>
      <c r="B12" t="s">
        <v>3343</v>
      </c>
    </row>
    <row r="13" spans="1:4" x14ac:dyDescent="0.35">
      <c r="A13" s="21" t="s">
        <v>3344</v>
      </c>
      <c r="B13" t="s">
        <v>3344</v>
      </c>
    </row>
    <row r="17" spans="2:2" x14ac:dyDescent="0.35">
      <c r="B17" t="s">
        <v>4116</v>
      </c>
    </row>
    <row r="18" spans="2:2" x14ac:dyDescent="0.35">
      <c r="B18" t="s">
        <v>4117</v>
      </c>
    </row>
    <row r="19" spans="2:2" x14ac:dyDescent="0.35">
      <c r="B19" t="s">
        <v>4118</v>
      </c>
    </row>
    <row r="20" spans="2:2" x14ac:dyDescent="0.35">
      <c r="B20" t="s">
        <v>4119</v>
      </c>
    </row>
  </sheetData>
  <hyperlinks>
    <hyperlink ref="A3" location="Bhuv!A1" display="Bhuv" xr:uid="{00000000-0004-0000-0000-000000000000}"/>
    <hyperlink ref="A4" location="TB!A1" display="TB" xr:uid="{00000000-0004-0000-0000-000001000000}"/>
    <hyperlink ref="A5" location="Holdings!A1" display="Holdings" xr:uid="{00000000-0004-0000-0000-000002000000}"/>
    <hyperlink ref="A6" location="WL!A1" display="WL" xr:uid="{00000000-0004-0000-0000-000003000000}"/>
    <hyperlink ref="A7" location="WLH!A1" display="WLH" xr:uid="{00000000-0004-0000-0000-000004000000}"/>
    <hyperlink ref="A8" location="MM!A1" display="MM" xr:uid="{00000000-0004-0000-0000-000005000000}"/>
    <hyperlink ref="A9" location="InvRpt!A1" display="InvRpt" xr:uid="{00000000-0004-0000-0000-000006000000}"/>
    <hyperlink ref="A10" location="PLRpt!A1" display="PLRpt" xr:uid="{00000000-0004-0000-0000-000007000000}"/>
    <hyperlink ref="A11" location="UM!A1" display="UM" xr:uid="{00000000-0004-0000-0000-000008000000}"/>
    <hyperlink ref="A12" location="TM!A1" display="TM" xr:uid="{00000000-0004-0000-0000-000009000000}"/>
    <hyperlink ref="A13" location="Indices!A1" display="Indices" xr:uid="{00000000-0004-0000-0000-00000A000000}"/>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M1941"/>
  <sheetViews>
    <sheetView topLeftCell="A1924" workbookViewId="0">
      <selection activeCell="B5" sqref="B5"/>
    </sheetView>
  </sheetViews>
  <sheetFormatPr defaultRowHeight="14.5" x14ac:dyDescent="0.35"/>
  <sheetData>
    <row r="1" spans="1:13" x14ac:dyDescent="0.35">
      <c r="A1" t="s">
        <v>74</v>
      </c>
      <c r="B1" t="s">
        <v>75</v>
      </c>
      <c r="C1" t="s">
        <v>76</v>
      </c>
      <c r="D1" t="s">
        <v>77</v>
      </c>
      <c r="E1" t="s">
        <v>78</v>
      </c>
      <c r="F1" t="s">
        <v>79</v>
      </c>
      <c r="G1" t="s">
        <v>80</v>
      </c>
      <c r="H1" t="s">
        <v>81</v>
      </c>
      <c r="I1" t="s">
        <v>82</v>
      </c>
      <c r="J1" t="s">
        <v>83</v>
      </c>
      <c r="K1" t="s">
        <v>84</v>
      </c>
      <c r="L1" t="s">
        <v>85</v>
      </c>
      <c r="M1" t="s">
        <v>86</v>
      </c>
    </row>
    <row r="2" spans="1:13" x14ac:dyDescent="0.35">
      <c r="A2" t="s">
        <v>87</v>
      </c>
      <c r="B2" t="s">
        <v>18</v>
      </c>
      <c r="C2">
        <v>26.05</v>
      </c>
      <c r="D2">
        <v>28.45</v>
      </c>
      <c r="E2">
        <v>26.05</v>
      </c>
      <c r="F2">
        <v>28.05</v>
      </c>
      <c r="G2">
        <v>28.05</v>
      </c>
      <c r="H2">
        <v>28.1</v>
      </c>
      <c r="I2">
        <v>40671</v>
      </c>
      <c r="J2">
        <v>1116005.25</v>
      </c>
      <c r="K2" s="13">
        <v>43994</v>
      </c>
      <c r="L2">
        <v>463</v>
      </c>
      <c r="M2" t="s">
        <v>88</v>
      </c>
    </row>
    <row r="3" spans="1:13" x14ac:dyDescent="0.35">
      <c r="A3" t="s">
        <v>89</v>
      </c>
      <c r="B3" t="s">
        <v>18</v>
      </c>
      <c r="C3">
        <v>10.65</v>
      </c>
      <c r="D3">
        <v>10.65</v>
      </c>
      <c r="E3">
        <v>10.65</v>
      </c>
      <c r="F3">
        <v>10.65</v>
      </c>
      <c r="G3">
        <v>10.65</v>
      </c>
      <c r="H3">
        <v>10.85</v>
      </c>
      <c r="I3">
        <v>1557</v>
      </c>
      <c r="J3">
        <v>16582.05</v>
      </c>
      <c r="K3" s="13">
        <v>43994</v>
      </c>
      <c r="L3">
        <v>6</v>
      </c>
      <c r="M3" t="s">
        <v>90</v>
      </c>
    </row>
    <row r="4" spans="1:13" x14ac:dyDescent="0.35">
      <c r="A4" t="s">
        <v>91</v>
      </c>
      <c r="B4" t="s">
        <v>18</v>
      </c>
      <c r="C4">
        <v>2.25</v>
      </c>
      <c r="D4">
        <v>2.35</v>
      </c>
      <c r="E4">
        <v>2.25</v>
      </c>
      <c r="F4">
        <v>2.25</v>
      </c>
      <c r="G4">
        <v>2.25</v>
      </c>
      <c r="H4">
        <v>2.35</v>
      </c>
      <c r="I4">
        <v>6483870</v>
      </c>
      <c r="J4">
        <v>14621475.65</v>
      </c>
      <c r="K4" s="13">
        <v>43994</v>
      </c>
      <c r="L4">
        <v>2430</v>
      </c>
      <c r="M4" t="s">
        <v>92</v>
      </c>
    </row>
    <row r="5" spans="1:13" x14ac:dyDescent="0.35">
      <c r="A5" t="s">
        <v>93</v>
      </c>
      <c r="B5" t="s">
        <v>18</v>
      </c>
      <c r="C5">
        <v>17001</v>
      </c>
      <c r="D5">
        <v>17539.7</v>
      </c>
      <c r="E5">
        <v>17000.05</v>
      </c>
      <c r="F5">
        <v>17404.400000000001</v>
      </c>
      <c r="G5">
        <v>17351.05</v>
      </c>
      <c r="H5">
        <v>17578.55</v>
      </c>
      <c r="I5">
        <v>4153</v>
      </c>
      <c r="J5">
        <v>72242694.049999997</v>
      </c>
      <c r="K5" s="13">
        <v>43994</v>
      </c>
      <c r="L5">
        <v>1406</v>
      </c>
      <c r="M5" t="s">
        <v>94</v>
      </c>
    </row>
    <row r="6" spans="1:13" x14ac:dyDescent="0.35">
      <c r="A6" t="s">
        <v>3371</v>
      </c>
      <c r="B6" t="s">
        <v>3372</v>
      </c>
      <c r="C6">
        <v>99</v>
      </c>
      <c r="D6">
        <v>99</v>
      </c>
      <c r="E6">
        <v>99</v>
      </c>
      <c r="F6">
        <v>99</v>
      </c>
      <c r="G6">
        <v>99</v>
      </c>
      <c r="H6">
        <v>99</v>
      </c>
      <c r="I6">
        <v>5</v>
      </c>
      <c r="J6">
        <v>495</v>
      </c>
      <c r="K6" s="13">
        <v>43994</v>
      </c>
      <c r="L6">
        <v>2</v>
      </c>
      <c r="M6" t="s">
        <v>3373</v>
      </c>
    </row>
    <row r="7" spans="1:13" x14ac:dyDescent="0.35">
      <c r="A7" t="s">
        <v>95</v>
      </c>
      <c r="B7" t="s">
        <v>18</v>
      </c>
      <c r="C7">
        <v>166.8</v>
      </c>
      <c r="D7">
        <v>166.8</v>
      </c>
      <c r="E7">
        <v>152.80000000000001</v>
      </c>
      <c r="F7">
        <v>163.9</v>
      </c>
      <c r="G7">
        <v>164</v>
      </c>
      <c r="H7">
        <v>166.8</v>
      </c>
      <c r="I7">
        <v>5351</v>
      </c>
      <c r="J7">
        <v>853160.45</v>
      </c>
      <c r="K7" s="13">
        <v>43994</v>
      </c>
      <c r="L7">
        <v>206</v>
      </c>
      <c r="M7" t="s">
        <v>96</v>
      </c>
    </row>
    <row r="8" spans="1:13" x14ac:dyDescent="0.35">
      <c r="A8" t="s">
        <v>97</v>
      </c>
      <c r="B8" t="s">
        <v>18</v>
      </c>
      <c r="C8">
        <v>80.05</v>
      </c>
      <c r="D8">
        <v>84.85</v>
      </c>
      <c r="E8">
        <v>76.849999999999994</v>
      </c>
      <c r="F8">
        <v>84.85</v>
      </c>
      <c r="G8">
        <v>84.85</v>
      </c>
      <c r="H8">
        <v>80.849999999999994</v>
      </c>
      <c r="I8">
        <v>324911</v>
      </c>
      <c r="J8">
        <v>26247205.600000001</v>
      </c>
      <c r="K8" s="13">
        <v>43994</v>
      </c>
      <c r="L8">
        <v>3048</v>
      </c>
      <c r="M8" t="s">
        <v>98</v>
      </c>
    </row>
    <row r="9" spans="1:13" x14ac:dyDescent="0.35">
      <c r="A9" t="s">
        <v>3374</v>
      </c>
      <c r="B9" t="s">
        <v>3372</v>
      </c>
      <c r="C9">
        <v>108</v>
      </c>
      <c r="D9">
        <v>109</v>
      </c>
      <c r="E9">
        <v>108</v>
      </c>
      <c r="F9">
        <v>108.01</v>
      </c>
      <c r="G9">
        <v>109</v>
      </c>
      <c r="H9">
        <v>108.8</v>
      </c>
      <c r="I9">
        <v>101</v>
      </c>
      <c r="J9">
        <v>10909</v>
      </c>
      <c r="K9" s="13">
        <v>43994</v>
      </c>
      <c r="L9">
        <v>3</v>
      </c>
      <c r="M9" t="s">
        <v>3375</v>
      </c>
    </row>
    <row r="10" spans="1:13" x14ac:dyDescent="0.35">
      <c r="A10" t="s">
        <v>3376</v>
      </c>
      <c r="B10" t="s">
        <v>3372</v>
      </c>
      <c r="C10">
        <v>102</v>
      </c>
      <c r="D10">
        <v>102</v>
      </c>
      <c r="E10">
        <v>102</v>
      </c>
      <c r="F10">
        <v>102</v>
      </c>
      <c r="G10">
        <v>102</v>
      </c>
      <c r="H10">
        <v>101.43</v>
      </c>
      <c r="I10">
        <v>100</v>
      </c>
      <c r="J10">
        <v>10200</v>
      </c>
      <c r="K10" s="13">
        <v>43994</v>
      </c>
      <c r="L10">
        <v>1</v>
      </c>
      <c r="M10" t="s">
        <v>3377</v>
      </c>
    </row>
    <row r="11" spans="1:13" x14ac:dyDescent="0.35">
      <c r="A11" t="s">
        <v>3378</v>
      </c>
      <c r="B11" t="s">
        <v>3372</v>
      </c>
      <c r="C11">
        <v>92.61</v>
      </c>
      <c r="D11">
        <v>92.61</v>
      </c>
      <c r="E11">
        <v>92.61</v>
      </c>
      <c r="F11">
        <v>92.61</v>
      </c>
      <c r="G11">
        <v>92.61</v>
      </c>
      <c r="H11">
        <v>88.2</v>
      </c>
      <c r="I11">
        <v>600</v>
      </c>
      <c r="J11">
        <v>55566</v>
      </c>
      <c r="K11" s="13">
        <v>43994</v>
      </c>
      <c r="L11">
        <v>4</v>
      </c>
      <c r="M11" t="s">
        <v>3379</v>
      </c>
    </row>
    <row r="12" spans="1:13" x14ac:dyDescent="0.35">
      <c r="A12" t="s">
        <v>99</v>
      </c>
      <c r="B12" t="s">
        <v>18</v>
      </c>
      <c r="C12">
        <v>4.4000000000000004</v>
      </c>
      <c r="D12">
        <v>4.4000000000000004</v>
      </c>
      <c r="E12">
        <v>4.25</v>
      </c>
      <c r="F12">
        <v>4.4000000000000004</v>
      </c>
      <c r="G12">
        <v>4.4000000000000004</v>
      </c>
      <c r="H12">
        <v>4.45</v>
      </c>
      <c r="I12">
        <v>158755</v>
      </c>
      <c r="J12">
        <v>688075.15</v>
      </c>
      <c r="K12" s="13">
        <v>43994</v>
      </c>
      <c r="L12">
        <v>304</v>
      </c>
      <c r="M12" t="s">
        <v>100</v>
      </c>
    </row>
    <row r="13" spans="1:13" x14ac:dyDescent="0.35">
      <c r="A13" t="s">
        <v>3380</v>
      </c>
      <c r="B13" t="s">
        <v>3381</v>
      </c>
      <c r="C13">
        <v>15.25</v>
      </c>
      <c r="D13">
        <v>15.65</v>
      </c>
      <c r="E13">
        <v>15.25</v>
      </c>
      <c r="F13">
        <v>15.65</v>
      </c>
      <c r="G13">
        <v>15.65</v>
      </c>
      <c r="H13">
        <v>15.35</v>
      </c>
      <c r="I13">
        <v>129000</v>
      </c>
      <c r="J13">
        <v>1994400</v>
      </c>
      <c r="K13" s="13">
        <v>43994</v>
      </c>
      <c r="L13">
        <v>15</v>
      </c>
      <c r="M13" t="s">
        <v>3382</v>
      </c>
    </row>
    <row r="14" spans="1:13" x14ac:dyDescent="0.35">
      <c r="A14" t="s">
        <v>3383</v>
      </c>
      <c r="B14" t="s">
        <v>3381</v>
      </c>
      <c r="C14">
        <v>42.7</v>
      </c>
      <c r="D14">
        <v>42.7</v>
      </c>
      <c r="E14">
        <v>42.7</v>
      </c>
      <c r="F14">
        <v>42.7</v>
      </c>
      <c r="G14">
        <v>42.7</v>
      </c>
      <c r="H14">
        <v>42.5</v>
      </c>
      <c r="I14">
        <v>3300</v>
      </c>
      <c r="J14">
        <v>140910</v>
      </c>
      <c r="K14" s="13">
        <v>43994</v>
      </c>
      <c r="L14">
        <v>1</v>
      </c>
      <c r="M14" t="s">
        <v>3384</v>
      </c>
    </row>
    <row r="15" spans="1:13" x14ac:dyDescent="0.35">
      <c r="A15" t="s">
        <v>101</v>
      </c>
      <c r="B15" t="s">
        <v>18</v>
      </c>
      <c r="C15">
        <v>911.1</v>
      </c>
      <c r="D15">
        <v>984</v>
      </c>
      <c r="E15">
        <v>911.1</v>
      </c>
      <c r="F15">
        <v>974.95</v>
      </c>
      <c r="G15">
        <v>974.6</v>
      </c>
      <c r="H15">
        <v>970.4</v>
      </c>
      <c r="I15">
        <v>175051</v>
      </c>
      <c r="J15">
        <v>167287459.94999999</v>
      </c>
      <c r="K15" s="13">
        <v>43994</v>
      </c>
      <c r="L15">
        <v>9313</v>
      </c>
      <c r="M15" t="s">
        <v>102</v>
      </c>
    </row>
    <row r="16" spans="1:13" x14ac:dyDescent="0.35">
      <c r="A16" t="s">
        <v>103</v>
      </c>
      <c r="B16" t="s">
        <v>18</v>
      </c>
      <c r="C16">
        <v>885</v>
      </c>
      <c r="D16">
        <v>921.55</v>
      </c>
      <c r="E16">
        <v>885</v>
      </c>
      <c r="F16">
        <v>918</v>
      </c>
      <c r="G16">
        <v>918</v>
      </c>
      <c r="H16">
        <v>926.1</v>
      </c>
      <c r="I16">
        <v>514186</v>
      </c>
      <c r="J16">
        <v>468262596.64999998</v>
      </c>
      <c r="K16" s="13">
        <v>43994</v>
      </c>
      <c r="L16">
        <v>14161</v>
      </c>
      <c r="M16" t="s">
        <v>104</v>
      </c>
    </row>
    <row r="17" spans="1:13" x14ac:dyDescent="0.35">
      <c r="A17" t="s">
        <v>105</v>
      </c>
      <c r="B17" t="s">
        <v>18</v>
      </c>
      <c r="C17">
        <v>11.7</v>
      </c>
      <c r="D17">
        <v>11.75</v>
      </c>
      <c r="E17">
        <v>11.15</v>
      </c>
      <c r="F17">
        <v>11.4</v>
      </c>
      <c r="G17">
        <v>11.45</v>
      </c>
      <c r="H17">
        <v>11.7</v>
      </c>
      <c r="I17">
        <v>7965</v>
      </c>
      <c r="J17">
        <v>90692.15</v>
      </c>
      <c r="K17" s="13">
        <v>43994</v>
      </c>
      <c r="L17">
        <v>83</v>
      </c>
      <c r="M17" t="s">
        <v>106</v>
      </c>
    </row>
    <row r="18" spans="1:13" x14ac:dyDescent="0.35">
      <c r="A18" t="s">
        <v>107</v>
      </c>
      <c r="B18" t="s">
        <v>18</v>
      </c>
      <c r="C18">
        <v>1173.0999999999999</v>
      </c>
      <c r="D18">
        <v>1287</v>
      </c>
      <c r="E18">
        <v>1172</v>
      </c>
      <c r="F18">
        <v>1274.5999999999999</v>
      </c>
      <c r="G18">
        <v>1264</v>
      </c>
      <c r="H18">
        <v>1247.8499999999999</v>
      </c>
      <c r="I18">
        <v>53904</v>
      </c>
      <c r="J18">
        <v>68083998.049999997</v>
      </c>
      <c r="K18" s="13">
        <v>43994</v>
      </c>
      <c r="L18">
        <v>2474</v>
      </c>
      <c r="M18" t="s">
        <v>108</v>
      </c>
    </row>
    <row r="19" spans="1:13" x14ac:dyDescent="0.35">
      <c r="A19" t="s">
        <v>109</v>
      </c>
      <c r="B19" t="s">
        <v>18</v>
      </c>
      <c r="C19">
        <v>21</v>
      </c>
      <c r="D19">
        <v>23.5</v>
      </c>
      <c r="E19">
        <v>20.350000000000001</v>
      </c>
      <c r="F19">
        <v>22.95</v>
      </c>
      <c r="G19">
        <v>23.05</v>
      </c>
      <c r="H19">
        <v>22.35</v>
      </c>
      <c r="I19">
        <v>103437</v>
      </c>
      <c r="J19">
        <v>2229211.25</v>
      </c>
      <c r="K19" s="13">
        <v>43994</v>
      </c>
      <c r="L19">
        <v>882</v>
      </c>
      <c r="M19" t="s">
        <v>110</v>
      </c>
    </row>
    <row r="20" spans="1:13" x14ac:dyDescent="0.35">
      <c r="A20" t="s">
        <v>111</v>
      </c>
      <c r="B20" t="s">
        <v>18</v>
      </c>
      <c r="C20">
        <v>786</v>
      </c>
      <c r="D20">
        <v>815</v>
      </c>
      <c r="E20">
        <v>780</v>
      </c>
      <c r="F20">
        <v>807.4</v>
      </c>
      <c r="G20">
        <v>805.25</v>
      </c>
      <c r="H20">
        <v>810.05</v>
      </c>
      <c r="I20">
        <v>116248</v>
      </c>
      <c r="J20">
        <v>93141489.049999997</v>
      </c>
      <c r="K20" s="13">
        <v>43994</v>
      </c>
      <c r="L20">
        <v>8196</v>
      </c>
      <c r="M20" t="s">
        <v>112</v>
      </c>
    </row>
    <row r="21" spans="1:13" x14ac:dyDescent="0.35">
      <c r="A21" t="s">
        <v>113</v>
      </c>
      <c r="B21" t="s">
        <v>18</v>
      </c>
      <c r="C21">
        <v>15845</v>
      </c>
      <c r="D21">
        <v>16200</v>
      </c>
      <c r="E21">
        <v>15570</v>
      </c>
      <c r="F21">
        <v>16083.6</v>
      </c>
      <c r="G21">
        <v>16071.05</v>
      </c>
      <c r="H21">
        <v>16035.5</v>
      </c>
      <c r="I21">
        <v>16194</v>
      </c>
      <c r="J21">
        <v>256603391.40000001</v>
      </c>
      <c r="K21" s="13">
        <v>43994</v>
      </c>
      <c r="L21">
        <v>6286</v>
      </c>
      <c r="M21" t="s">
        <v>114</v>
      </c>
    </row>
    <row r="22" spans="1:13" x14ac:dyDescent="0.35">
      <c r="A22" t="s">
        <v>115</v>
      </c>
      <c r="B22" t="s">
        <v>18</v>
      </c>
      <c r="C22">
        <v>53</v>
      </c>
      <c r="D22">
        <v>54.5</v>
      </c>
      <c r="E22">
        <v>52.2</v>
      </c>
      <c r="F22">
        <v>54.3</v>
      </c>
      <c r="G22">
        <v>54.4</v>
      </c>
      <c r="H22">
        <v>55.2</v>
      </c>
      <c r="I22">
        <v>2943978</v>
      </c>
      <c r="J22">
        <v>157549525.5</v>
      </c>
      <c r="K22" s="13">
        <v>43994</v>
      </c>
      <c r="L22">
        <v>12516</v>
      </c>
      <c r="M22" t="s">
        <v>116</v>
      </c>
    </row>
    <row r="23" spans="1:13" x14ac:dyDescent="0.35">
      <c r="A23" t="s">
        <v>117</v>
      </c>
      <c r="B23" t="s">
        <v>18</v>
      </c>
      <c r="C23">
        <v>120.25</v>
      </c>
      <c r="D23">
        <v>141</v>
      </c>
      <c r="E23">
        <v>120.1</v>
      </c>
      <c r="F23">
        <v>139.35</v>
      </c>
      <c r="G23">
        <v>139</v>
      </c>
      <c r="H23">
        <v>129.85</v>
      </c>
      <c r="I23">
        <v>3277298</v>
      </c>
      <c r="J23">
        <v>439152722.85000002</v>
      </c>
      <c r="K23" s="13">
        <v>43994</v>
      </c>
      <c r="L23">
        <v>25551</v>
      </c>
      <c r="M23" t="s">
        <v>118</v>
      </c>
    </row>
    <row r="24" spans="1:13" x14ac:dyDescent="0.35">
      <c r="A24" t="s">
        <v>119</v>
      </c>
      <c r="B24" t="s">
        <v>18</v>
      </c>
      <c r="C24">
        <v>200</v>
      </c>
      <c r="D24">
        <v>202.88</v>
      </c>
      <c r="E24">
        <v>191.51</v>
      </c>
      <c r="F24">
        <v>202.88</v>
      </c>
      <c r="G24">
        <v>202.88</v>
      </c>
      <c r="H24">
        <v>201</v>
      </c>
      <c r="I24">
        <v>146</v>
      </c>
      <c r="J24">
        <v>28744.91</v>
      </c>
      <c r="K24" s="13">
        <v>43994</v>
      </c>
      <c r="L24">
        <v>22</v>
      </c>
      <c r="M24" t="s">
        <v>120</v>
      </c>
    </row>
    <row r="25" spans="1:13" x14ac:dyDescent="0.35">
      <c r="A25" t="s">
        <v>121</v>
      </c>
      <c r="B25" t="s">
        <v>18</v>
      </c>
      <c r="C25">
        <v>258.79000000000002</v>
      </c>
      <c r="D25">
        <v>260</v>
      </c>
      <c r="E25">
        <v>251.3</v>
      </c>
      <c r="F25">
        <v>251.47</v>
      </c>
      <c r="G25">
        <v>251.3</v>
      </c>
      <c r="H25">
        <v>251.24</v>
      </c>
      <c r="I25">
        <v>153</v>
      </c>
      <c r="J25">
        <v>39435.699999999997</v>
      </c>
      <c r="K25" s="13">
        <v>43994</v>
      </c>
      <c r="L25">
        <v>24</v>
      </c>
      <c r="M25" t="s">
        <v>122</v>
      </c>
    </row>
    <row r="26" spans="1:13" x14ac:dyDescent="0.35">
      <c r="A26" t="s">
        <v>3385</v>
      </c>
      <c r="B26" t="s">
        <v>3386</v>
      </c>
      <c r="C26">
        <v>5.33</v>
      </c>
      <c r="D26">
        <v>6.35</v>
      </c>
      <c r="E26">
        <v>5.33</v>
      </c>
      <c r="F26">
        <v>5.5</v>
      </c>
      <c r="G26">
        <v>5.5</v>
      </c>
      <c r="H26">
        <v>5.9</v>
      </c>
      <c r="I26">
        <v>14432</v>
      </c>
      <c r="J26">
        <v>78669</v>
      </c>
      <c r="K26" s="13">
        <v>43994</v>
      </c>
      <c r="L26">
        <v>9</v>
      </c>
      <c r="M26" t="s">
        <v>3387</v>
      </c>
    </row>
    <row r="27" spans="1:13" x14ac:dyDescent="0.35">
      <c r="A27" t="s">
        <v>123</v>
      </c>
      <c r="B27" t="s">
        <v>18</v>
      </c>
      <c r="C27">
        <v>1180</v>
      </c>
      <c r="D27">
        <v>1274</v>
      </c>
      <c r="E27">
        <v>1180</v>
      </c>
      <c r="F27">
        <v>1268.8</v>
      </c>
      <c r="G27">
        <v>1264</v>
      </c>
      <c r="H27">
        <v>1244.55</v>
      </c>
      <c r="I27">
        <v>1161457</v>
      </c>
      <c r="J27">
        <v>1443305178.1500001</v>
      </c>
      <c r="K27" s="13">
        <v>43994</v>
      </c>
      <c r="L27">
        <v>37824</v>
      </c>
      <c r="M27" t="s">
        <v>124</v>
      </c>
    </row>
    <row r="28" spans="1:13" x14ac:dyDescent="0.35">
      <c r="A28" t="s">
        <v>125</v>
      </c>
      <c r="B28" t="s">
        <v>18</v>
      </c>
      <c r="C28">
        <v>934.1</v>
      </c>
      <c r="D28">
        <v>961.95</v>
      </c>
      <c r="E28">
        <v>934.05</v>
      </c>
      <c r="F28">
        <v>952.2</v>
      </c>
      <c r="G28">
        <v>961.5</v>
      </c>
      <c r="H28">
        <v>939.05</v>
      </c>
      <c r="I28">
        <v>16251</v>
      </c>
      <c r="J28">
        <v>15418026.75</v>
      </c>
      <c r="K28" s="13">
        <v>43994</v>
      </c>
      <c r="L28">
        <v>662</v>
      </c>
      <c r="M28" t="s">
        <v>126</v>
      </c>
    </row>
    <row r="29" spans="1:13" x14ac:dyDescent="0.35">
      <c r="A29" t="s">
        <v>3388</v>
      </c>
      <c r="B29" t="s">
        <v>3381</v>
      </c>
      <c r="C29">
        <v>23</v>
      </c>
      <c r="D29">
        <v>24</v>
      </c>
      <c r="E29">
        <v>23</v>
      </c>
      <c r="F29">
        <v>24</v>
      </c>
      <c r="G29">
        <v>24</v>
      </c>
      <c r="H29">
        <v>23.1</v>
      </c>
      <c r="I29">
        <v>4800</v>
      </c>
      <c r="J29">
        <v>112000</v>
      </c>
      <c r="K29" s="13">
        <v>43994</v>
      </c>
      <c r="L29">
        <v>3</v>
      </c>
      <c r="M29" t="s">
        <v>3389</v>
      </c>
    </row>
    <row r="30" spans="1:13" x14ac:dyDescent="0.35">
      <c r="A30" t="s">
        <v>127</v>
      </c>
      <c r="B30" t="s">
        <v>18</v>
      </c>
      <c r="C30">
        <v>51.05</v>
      </c>
      <c r="D30">
        <v>55</v>
      </c>
      <c r="E30">
        <v>48.75</v>
      </c>
      <c r="F30">
        <v>54.65</v>
      </c>
      <c r="G30">
        <v>54.25</v>
      </c>
      <c r="H30">
        <v>53.85</v>
      </c>
      <c r="I30">
        <v>620244</v>
      </c>
      <c r="J30">
        <v>32687937.75</v>
      </c>
      <c r="K30" s="13">
        <v>43994</v>
      </c>
      <c r="L30">
        <v>4280</v>
      </c>
      <c r="M30" t="s">
        <v>128</v>
      </c>
    </row>
    <row r="31" spans="1:13" x14ac:dyDescent="0.35">
      <c r="A31" t="s">
        <v>129</v>
      </c>
      <c r="B31" t="s">
        <v>18</v>
      </c>
      <c r="C31">
        <v>144</v>
      </c>
      <c r="D31">
        <v>153.30000000000001</v>
      </c>
      <c r="E31">
        <v>141</v>
      </c>
      <c r="F31">
        <v>152.30000000000001</v>
      </c>
      <c r="G31">
        <v>152.65</v>
      </c>
      <c r="H31">
        <v>151.80000000000001</v>
      </c>
      <c r="I31">
        <v>4817495</v>
      </c>
      <c r="J31">
        <v>713064550.5</v>
      </c>
      <c r="K31" s="13">
        <v>43994</v>
      </c>
      <c r="L31">
        <v>32778</v>
      </c>
      <c r="M31" t="s">
        <v>130</v>
      </c>
    </row>
    <row r="32" spans="1:13" x14ac:dyDescent="0.35">
      <c r="A32" t="s">
        <v>16</v>
      </c>
      <c r="B32" t="s">
        <v>18</v>
      </c>
      <c r="C32">
        <v>127.3</v>
      </c>
      <c r="D32">
        <v>133.19999999999999</v>
      </c>
      <c r="E32">
        <v>126.4</v>
      </c>
      <c r="F32">
        <v>132.44999999999999</v>
      </c>
      <c r="G32">
        <v>132.30000000000001</v>
      </c>
      <c r="H32">
        <v>134</v>
      </c>
      <c r="I32">
        <v>2050767</v>
      </c>
      <c r="J32">
        <v>268242863.40000001</v>
      </c>
      <c r="K32" s="13">
        <v>43994</v>
      </c>
      <c r="L32">
        <v>18274</v>
      </c>
      <c r="M32" t="s">
        <v>131</v>
      </c>
    </row>
    <row r="33" spans="1:13" x14ac:dyDescent="0.35">
      <c r="A33" t="s">
        <v>132</v>
      </c>
      <c r="B33" t="s">
        <v>18</v>
      </c>
      <c r="C33">
        <v>315.45</v>
      </c>
      <c r="D33">
        <v>339.95</v>
      </c>
      <c r="E33">
        <v>315.45</v>
      </c>
      <c r="F33">
        <v>336.4</v>
      </c>
      <c r="G33">
        <v>335</v>
      </c>
      <c r="H33">
        <v>332.05</v>
      </c>
      <c r="I33">
        <v>2889448</v>
      </c>
      <c r="J33">
        <v>957186995.29999995</v>
      </c>
      <c r="K33" s="13">
        <v>43994</v>
      </c>
      <c r="L33">
        <v>47326</v>
      </c>
      <c r="M33" t="s">
        <v>133</v>
      </c>
    </row>
    <row r="34" spans="1:13" x14ac:dyDescent="0.35">
      <c r="A34" t="s">
        <v>134</v>
      </c>
      <c r="B34" t="s">
        <v>18</v>
      </c>
      <c r="C34">
        <v>330.65</v>
      </c>
      <c r="D34">
        <v>347.8</v>
      </c>
      <c r="E34">
        <v>327.7</v>
      </c>
      <c r="F34">
        <v>345.3</v>
      </c>
      <c r="G34">
        <v>346.85</v>
      </c>
      <c r="H34">
        <v>338.65</v>
      </c>
      <c r="I34">
        <v>3022904</v>
      </c>
      <c r="J34">
        <v>1017912006.9</v>
      </c>
      <c r="K34" s="13">
        <v>43994</v>
      </c>
      <c r="L34">
        <v>36684</v>
      </c>
      <c r="M34" t="s">
        <v>135</v>
      </c>
    </row>
    <row r="35" spans="1:13" x14ac:dyDescent="0.35">
      <c r="A35" t="s">
        <v>136</v>
      </c>
      <c r="B35" t="s">
        <v>18</v>
      </c>
      <c r="C35">
        <v>36.1</v>
      </c>
      <c r="D35">
        <v>38.25</v>
      </c>
      <c r="E35">
        <v>36.1</v>
      </c>
      <c r="F35">
        <v>38</v>
      </c>
      <c r="G35">
        <v>37.950000000000003</v>
      </c>
      <c r="H35">
        <v>37.85</v>
      </c>
      <c r="I35">
        <v>13619065</v>
      </c>
      <c r="J35">
        <v>510715748.85000002</v>
      </c>
      <c r="K35" s="13">
        <v>43994</v>
      </c>
      <c r="L35">
        <v>19594</v>
      </c>
      <c r="M35" t="s">
        <v>137</v>
      </c>
    </row>
    <row r="36" spans="1:13" x14ac:dyDescent="0.35">
      <c r="A36" t="s">
        <v>138</v>
      </c>
      <c r="B36" t="s">
        <v>18</v>
      </c>
      <c r="C36">
        <v>189.85</v>
      </c>
      <c r="D36">
        <v>205</v>
      </c>
      <c r="E36">
        <v>189.85</v>
      </c>
      <c r="F36">
        <v>202.75</v>
      </c>
      <c r="G36">
        <v>202.2</v>
      </c>
      <c r="H36">
        <v>199.8</v>
      </c>
      <c r="I36">
        <v>2062760</v>
      </c>
      <c r="J36">
        <v>413366179.64999998</v>
      </c>
      <c r="K36" s="13">
        <v>43994</v>
      </c>
      <c r="L36">
        <v>20359</v>
      </c>
      <c r="M36" t="s">
        <v>139</v>
      </c>
    </row>
    <row r="37" spans="1:13" x14ac:dyDescent="0.35">
      <c r="A37" t="s">
        <v>140</v>
      </c>
      <c r="B37" t="s">
        <v>18</v>
      </c>
      <c r="C37">
        <v>268</v>
      </c>
      <c r="D37">
        <v>296</v>
      </c>
      <c r="E37">
        <v>268</v>
      </c>
      <c r="F37">
        <v>294</v>
      </c>
      <c r="G37">
        <v>295.75</v>
      </c>
      <c r="H37">
        <v>281.95</v>
      </c>
      <c r="I37">
        <v>55782</v>
      </c>
      <c r="J37">
        <v>15904840.949999999</v>
      </c>
      <c r="K37" s="13">
        <v>43994</v>
      </c>
      <c r="L37">
        <v>1545</v>
      </c>
      <c r="M37" t="s">
        <v>141</v>
      </c>
    </row>
    <row r="38" spans="1:13" x14ac:dyDescent="0.35">
      <c r="A38" t="s">
        <v>142</v>
      </c>
      <c r="B38" t="s">
        <v>18</v>
      </c>
      <c r="C38">
        <v>17.5</v>
      </c>
      <c r="D38">
        <v>19</v>
      </c>
      <c r="E38">
        <v>17.5</v>
      </c>
      <c r="F38">
        <v>18.8</v>
      </c>
      <c r="G38">
        <v>18.899999999999999</v>
      </c>
      <c r="H38">
        <v>19.149999999999999</v>
      </c>
      <c r="I38">
        <v>24566</v>
      </c>
      <c r="J38">
        <v>459999.25</v>
      </c>
      <c r="K38" s="13">
        <v>43994</v>
      </c>
      <c r="L38">
        <v>184</v>
      </c>
      <c r="M38" t="s">
        <v>143</v>
      </c>
    </row>
    <row r="39" spans="1:13" x14ac:dyDescent="0.35">
      <c r="A39" t="s">
        <v>144</v>
      </c>
      <c r="B39" t="s">
        <v>18</v>
      </c>
      <c r="C39">
        <v>245</v>
      </c>
      <c r="D39">
        <v>251.95</v>
      </c>
      <c r="E39">
        <v>235</v>
      </c>
      <c r="F39">
        <v>250.2</v>
      </c>
      <c r="G39">
        <v>250.9</v>
      </c>
      <c r="H39">
        <v>252.2</v>
      </c>
      <c r="I39">
        <v>6201</v>
      </c>
      <c r="J39">
        <v>1527945.95</v>
      </c>
      <c r="K39" s="13">
        <v>43994</v>
      </c>
      <c r="L39">
        <v>411</v>
      </c>
      <c r="M39" t="s">
        <v>145</v>
      </c>
    </row>
    <row r="40" spans="1:13" x14ac:dyDescent="0.35">
      <c r="A40" t="s">
        <v>146</v>
      </c>
      <c r="B40" t="s">
        <v>18</v>
      </c>
      <c r="C40">
        <v>6.65</v>
      </c>
      <c r="D40">
        <v>6.9</v>
      </c>
      <c r="E40">
        <v>6.1</v>
      </c>
      <c r="F40">
        <v>6.6</v>
      </c>
      <c r="G40">
        <v>6.4</v>
      </c>
      <c r="H40">
        <v>6.7</v>
      </c>
      <c r="I40">
        <v>47069</v>
      </c>
      <c r="J40">
        <v>310470.05</v>
      </c>
      <c r="K40" s="13">
        <v>43994</v>
      </c>
      <c r="L40">
        <v>246</v>
      </c>
      <c r="M40" t="s">
        <v>147</v>
      </c>
    </row>
    <row r="41" spans="1:13" x14ac:dyDescent="0.35">
      <c r="A41" t="s">
        <v>148</v>
      </c>
      <c r="B41" t="s">
        <v>18</v>
      </c>
      <c r="C41">
        <v>20.149999999999999</v>
      </c>
      <c r="D41">
        <v>20.149999999999999</v>
      </c>
      <c r="E41">
        <v>18.350000000000001</v>
      </c>
      <c r="F41">
        <v>19.45</v>
      </c>
      <c r="G41">
        <v>19.55</v>
      </c>
      <c r="H41">
        <v>19.3</v>
      </c>
      <c r="I41">
        <v>110283</v>
      </c>
      <c r="J41">
        <v>2139228.25</v>
      </c>
      <c r="K41" s="13">
        <v>43994</v>
      </c>
      <c r="L41">
        <v>571</v>
      </c>
      <c r="M41" t="s">
        <v>149</v>
      </c>
    </row>
    <row r="42" spans="1:13" x14ac:dyDescent="0.35">
      <c r="A42" t="s">
        <v>150</v>
      </c>
      <c r="B42" t="s">
        <v>18</v>
      </c>
      <c r="C42">
        <v>50.6</v>
      </c>
      <c r="D42">
        <v>50.6</v>
      </c>
      <c r="E42">
        <v>50.55</v>
      </c>
      <c r="F42">
        <v>50.55</v>
      </c>
      <c r="G42">
        <v>50.55</v>
      </c>
      <c r="H42">
        <v>53.2</v>
      </c>
      <c r="I42">
        <v>2679</v>
      </c>
      <c r="J42">
        <v>135441.9</v>
      </c>
      <c r="K42" s="13">
        <v>43994</v>
      </c>
      <c r="L42">
        <v>45</v>
      </c>
      <c r="M42" t="s">
        <v>151</v>
      </c>
    </row>
    <row r="43" spans="1:13" x14ac:dyDescent="0.35">
      <c r="A43" t="s">
        <v>152</v>
      </c>
      <c r="B43" t="s">
        <v>18</v>
      </c>
      <c r="C43">
        <v>159</v>
      </c>
      <c r="D43">
        <v>172.65</v>
      </c>
      <c r="E43">
        <v>158.5</v>
      </c>
      <c r="F43">
        <v>170.65</v>
      </c>
      <c r="G43">
        <v>170.9</v>
      </c>
      <c r="H43">
        <v>166.25</v>
      </c>
      <c r="I43">
        <v>197003</v>
      </c>
      <c r="J43">
        <v>32561886.949999999</v>
      </c>
      <c r="K43" s="13">
        <v>43994</v>
      </c>
      <c r="L43">
        <v>4903</v>
      </c>
      <c r="M43" t="s">
        <v>153</v>
      </c>
    </row>
    <row r="44" spans="1:13" x14ac:dyDescent="0.35">
      <c r="A44" t="s">
        <v>154</v>
      </c>
      <c r="B44" t="s">
        <v>18</v>
      </c>
      <c r="C44">
        <v>172.4</v>
      </c>
      <c r="D44">
        <v>184</v>
      </c>
      <c r="E44">
        <v>172.4</v>
      </c>
      <c r="F44">
        <v>181.9</v>
      </c>
      <c r="G44">
        <v>184</v>
      </c>
      <c r="H44">
        <v>183.9</v>
      </c>
      <c r="I44">
        <v>158608</v>
      </c>
      <c r="J44">
        <v>28430909.300000001</v>
      </c>
      <c r="K44" s="13">
        <v>43994</v>
      </c>
      <c r="L44">
        <v>5346</v>
      </c>
      <c r="M44" t="s">
        <v>155</v>
      </c>
    </row>
    <row r="45" spans="1:13" x14ac:dyDescent="0.35">
      <c r="A45" t="s">
        <v>156</v>
      </c>
      <c r="B45" t="s">
        <v>18</v>
      </c>
      <c r="C45">
        <v>1440</v>
      </c>
      <c r="D45">
        <v>1483</v>
      </c>
      <c r="E45">
        <v>1432.15</v>
      </c>
      <c r="F45">
        <v>1464.1</v>
      </c>
      <c r="G45">
        <v>1460</v>
      </c>
      <c r="H45">
        <v>1484.15</v>
      </c>
      <c r="I45">
        <v>59398</v>
      </c>
      <c r="J45">
        <v>86788054.049999997</v>
      </c>
      <c r="K45" s="13">
        <v>43994</v>
      </c>
      <c r="L45">
        <v>8132</v>
      </c>
      <c r="M45" t="s">
        <v>157</v>
      </c>
    </row>
    <row r="46" spans="1:13" x14ac:dyDescent="0.35">
      <c r="A46" t="s">
        <v>158</v>
      </c>
      <c r="B46" t="s">
        <v>18</v>
      </c>
      <c r="C46">
        <v>64.3</v>
      </c>
      <c r="D46">
        <v>68.55</v>
      </c>
      <c r="E46">
        <v>63.6</v>
      </c>
      <c r="F46">
        <v>67.150000000000006</v>
      </c>
      <c r="G46">
        <v>67.05</v>
      </c>
      <c r="H46">
        <v>70.55</v>
      </c>
      <c r="I46">
        <v>45487</v>
      </c>
      <c r="J46">
        <v>3000584.15</v>
      </c>
      <c r="K46" s="13">
        <v>43994</v>
      </c>
      <c r="L46">
        <v>645</v>
      </c>
      <c r="M46" t="s">
        <v>159</v>
      </c>
    </row>
    <row r="47" spans="1:13" x14ac:dyDescent="0.35">
      <c r="A47" t="s">
        <v>160</v>
      </c>
      <c r="B47" t="s">
        <v>18</v>
      </c>
      <c r="C47">
        <v>295</v>
      </c>
      <c r="D47">
        <v>314.8</v>
      </c>
      <c r="E47">
        <v>293</v>
      </c>
      <c r="F47">
        <v>307.89999999999998</v>
      </c>
      <c r="G47">
        <v>314.8</v>
      </c>
      <c r="H47">
        <v>308.10000000000002</v>
      </c>
      <c r="I47">
        <v>3633</v>
      </c>
      <c r="J47">
        <v>1096089.7</v>
      </c>
      <c r="K47" s="13">
        <v>43994</v>
      </c>
      <c r="L47">
        <v>136</v>
      </c>
      <c r="M47" t="s">
        <v>161</v>
      </c>
    </row>
    <row r="48" spans="1:13" x14ac:dyDescent="0.35">
      <c r="A48" t="s">
        <v>3390</v>
      </c>
      <c r="B48" t="s">
        <v>3391</v>
      </c>
      <c r="C48">
        <v>35.15</v>
      </c>
      <c r="D48">
        <v>37.4</v>
      </c>
      <c r="E48">
        <v>35.15</v>
      </c>
      <c r="F48">
        <v>36</v>
      </c>
      <c r="G48">
        <v>35.4</v>
      </c>
      <c r="H48">
        <v>36.950000000000003</v>
      </c>
      <c r="I48">
        <v>16840</v>
      </c>
      <c r="J48">
        <v>604392.94999999995</v>
      </c>
      <c r="K48" s="13">
        <v>43994</v>
      </c>
      <c r="L48">
        <v>138</v>
      </c>
      <c r="M48" t="s">
        <v>3392</v>
      </c>
    </row>
    <row r="49" spans="1:13" x14ac:dyDescent="0.35">
      <c r="A49" t="s">
        <v>162</v>
      </c>
      <c r="B49" t="s">
        <v>18</v>
      </c>
      <c r="C49">
        <v>14.9</v>
      </c>
      <c r="D49">
        <v>15.2</v>
      </c>
      <c r="E49">
        <v>13.8</v>
      </c>
      <c r="F49">
        <v>15.05</v>
      </c>
      <c r="G49">
        <v>15.2</v>
      </c>
      <c r="H49">
        <v>14.5</v>
      </c>
      <c r="I49">
        <v>199150</v>
      </c>
      <c r="J49">
        <v>2934670.05</v>
      </c>
      <c r="K49" s="13">
        <v>43994</v>
      </c>
      <c r="L49">
        <v>657</v>
      </c>
      <c r="M49" t="s">
        <v>163</v>
      </c>
    </row>
    <row r="50" spans="1:13" x14ac:dyDescent="0.35">
      <c r="A50" t="s">
        <v>164</v>
      </c>
      <c r="B50" t="s">
        <v>18</v>
      </c>
      <c r="C50">
        <v>131.25</v>
      </c>
      <c r="D50">
        <v>145.85</v>
      </c>
      <c r="E50">
        <v>131.19999999999999</v>
      </c>
      <c r="F50">
        <v>142.30000000000001</v>
      </c>
      <c r="G50">
        <v>142</v>
      </c>
      <c r="H50">
        <v>136.44999999999999</v>
      </c>
      <c r="I50">
        <v>143</v>
      </c>
      <c r="J50">
        <v>19618.8</v>
      </c>
      <c r="K50" s="13">
        <v>43994</v>
      </c>
      <c r="L50">
        <v>33</v>
      </c>
      <c r="M50" t="s">
        <v>165</v>
      </c>
    </row>
    <row r="51" spans="1:13" x14ac:dyDescent="0.35">
      <c r="A51" t="s">
        <v>166</v>
      </c>
      <c r="B51" t="s">
        <v>18</v>
      </c>
      <c r="C51">
        <v>183.3</v>
      </c>
      <c r="D51">
        <v>189.85</v>
      </c>
      <c r="E51">
        <v>175.15</v>
      </c>
      <c r="F51">
        <v>188.85</v>
      </c>
      <c r="G51">
        <v>189.8</v>
      </c>
      <c r="H51">
        <v>193.25</v>
      </c>
      <c r="I51">
        <v>8856</v>
      </c>
      <c r="J51">
        <v>1632642.5</v>
      </c>
      <c r="K51" s="13">
        <v>43994</v>
      </c>
      <c r="L51">
        <v>475</v>
      </c>
      <c r="M51" t="s">
        <v>167</v>
      </c>
    </row>
    <row r="52" spans="1:13" x14ac:dyDescent="0.35">
      <c r="A52" t="s">
        <v>168</v>
      </c>
      <c r="B52" t="s">
        <v>18</v>
      </c>
      <c r="C52">
        <v>275.8</v>
      </c>
      <c r="D52">
        <v>275.8</v>
      </c>
      <c r="E52">
        <v>263</v>
      </c>
      <c r="F52">
        <v>267.10000000000002</v>
      </c>
      <c r="G52">
        <v>263</v>
      </c>
      <c r="H52">
        <v>274.8</v>
      </c>
      <c r="I52">
        <v>90</v>
      </c>
      <c r="J52">
        <v>24436.65</v>
      </c>
      <c r="K52" s="13">
        <v>43994</v>
      </c>
      <c r="L52">
        <v>37</v>
      </c>
      <c r="M52" t="s">
        <v>169</v>
      </c>
    </row>
    <row r="53" spans="1:13" x14ac:dyDescent="0.35">
      <c r="A53" t="s">
        <v>170</v>
      </c>
      <c r="B53" t="s">
        <v>18</v>
      </c>
      <c r="C53">
        <v>1660.1</v>
      </c>
      <c r="D53">
        <v>1673.95</v>
      </c>
      <c r="E53">
        <v>1635</v>
      </c>
      <c r="F53">
        <v>1646.45</v>
      </c>
      <c r="G53">
        <v>1637</v>
      </c>
      <c r="H53">
        <v>1709.5</v>
      </c>
      <c r="I53">
        <v>62584</v>
      </c>
      <c r="J53">
        <v>103159803.95</v>
      </c>
      <c r="K53" s="13">
        <v>43994</v>
      </c>
      <c r="L53">
        <v>6460</v>
      </c>
      <c r="M53" t="s">
        <v>171</v>
      </c>
    </row>
    <row r="54" spans="1:13" x14ac:dyDescent="0.35">
      <c r="A54" t="s">
        <v>172</v>
      </c>
      <c r="B54" t="s">
        <v>18</v>
      </c>
      <c r="C54">
        <v>14.4</v>
      </c>
      <c r="D54">
        <v>14.5</v>
      </c>
      <c r="E54">
        <v>14</v>
      </c>
      <c r="F54">
        <v>14.3</v>
      </c>
      <c r="G54">
        <v>14.5</v>
      </c>
      <c r="H54">
        <v>14.7</v>
      </c>
      <c r="I54">
        <v>51616</v>
      </c>
      <c r="J54">
        <v>729639.55</v>
      </c>
      <c r="K54" s="13">
        <v>43994</v>
      </c>
      <c r="L54">
        <v>162</v>
      </c>
      <c r="M54" t="s">
        <v>173</v>
      </c>
    </row>
    <row r="55" spans="1:13" x14ac:dyDescent="0.35">
      <c r="A55" t="s">
        <v>174</v>
      </c>
      <c r="B55" t="s">
        <v>18</v>
      </c>
      <c r="C55">
        <v>19.5</v>
      </c>
      <c r="D55">
        <v>19.55</v>
      </c>
      <c r="E55">
        <v>17.600000000000001</v>
      </c>
      <c r="F55">
        <v>17.7</v>
      </c>
      <c r="G55">
        <v>17.850000000000001</v>
      </c>
      <c r="H55">
        <v>19.55</v>
      </c>
      <c r="I55">
        <v>357055</v>
      </c>
      <c r="J55">
        <v>6339695.5999999996</v>
      </c>
      <c r="K55" s="13">
        <v>43994</v>
      </c>
      <c r="L55">
        <v>1297</v>
      </c>
      <c r="M55" t="s">
        <v>175</v>
      </c>
    </row>
    <row r="56" spans="1:13" x14ac:dyDescent="0.35">
      <c r="A56" t="s">
        <v>3393</v>
      </c>
      <c r="B56" t="s">
        <v>3381</v>
      </c>
      <c r="C56">
        <v>18.05</v>
      </c>
      <c r="D56">
        <v>18.05</v>
      </c>
      <c r="E56">
        <v>18.05</v>
      </c>
      <c r="F56">
        <v>18.05</v>
      </c>
      <c r="G56">
        <v>18.05</v>
      </c>
      <c r="H56">
        <v>17.7</v>
      </c>
      <c r="I56">
        <v>1200</v>
      </c>
      <c r="J56">
        <v>21660</v>
      </c>
      <c r="K56" s="13">
        <v>43994</v>
      </c>
      <c r="L56">
        <v>1</v>
      </c>
      <c r="M56" t="s">
        <v>3394</v>
      </c>
    </row>
    <row r="57" spans="1:13" x14ac:dyDescent="0.35">
      <c r="A57" t="s">
        <v>176</v>
      </c>
      <c r="B57" t="s">
        <v>18</v>
      </c>
      <c r="C57">
        <v>1440</v>
      </c>
      <c r="D57">
        <v>1470</v>
      </c>
      <c r="E57">
        <v>1437.5</v>
      </c>
      <c r="F57">
        <v>1458</v>
      </c>
      <c r="G57">
        <v>1460</v>
      </c>
      <c r="H57">
        <v>1480.8</v>
      </c>
      <c r="I57">
        <v>80109</v>
      </c>
      <c r="J57">
        <v>116530874.84999999</v>
      </c>
      <c r="K57" s="13">
        <v>43994</v>
      </c>
      <c r="L57">
        <v>5536</v>
      </c>
      <c r="M57" t="s">
        <v>177</v>
      </c>
    </row>
    <row r="58" spans="1:13" x14ac:dyDescent="0.35">
      <c r="A58" t="s">
        <v>178</v>
      </c>
      <c r="B58" t="s">
        <v>18</v>
      </c>
      <c r="C58">
        <v>82.5</v>
      </c>
      <c r="D58">
        <v>85.4</v>
      </c>
      <c r="E58">
        <v>81.25</v>
      </c>
      <c r="F58">
        <v>84.2</v>
      </c>
      <c r="G58">
        <v>83.7</v>
      </c>
      <c r="H58">
        <v>85.4</v>
      </c>
      <c r="I58">
        <v>53726</v>
      </c>
      <c r="J58">
        <v>4476311.3</v>
      </c>
      <c r="K58" s="13">
        <v>43994</v>
      </c>
      <c r="L58">
        <v>1215</v>
      </c>
      <c r="M58" t="s">
        <v>179</v>
      </c>
    </row>
    <row r="59" spans="1:13" x14ac:dyDescent="0.35">
      <c r="A59" t="s">
        <v>3395</v>
      </c>
      <c r="B59" t="s">
        <v>3391</v>
      </c>
      <c r="C59">
        <v>91</v>
      </c>
      <c r="D59">
        <v>92</v>
      </c>
      <c r="E59">
        <v>91</v>
      </c>
      <c r="F59">
        <v>92</v>
      </c>
      <c r="G59">
        <v>92</v>
      </c>
      <c r="H59">
        <v>89.4</v>
      </c>
      <c r="I59">
        <v>200</v>
      </c>
      <c r="J59">
        <v>18300</v>
      </c>
      <c r="K59" s="13">
        <v>43994</v>
      </c>
      <c r="L59">
        <v>3</v>
      </c>
      <c r="M59" t="s">
        <v>3396</v>
      </c>
    </row>
    <row r="60" spans="1:13" x14ac:dyDescent="0.35">
      <c r="A60" t="s">
        <v>180</v>
      </c>
      <c r="B60" t="s">
        <v>18</v>
      </c>
      <c r="C60">
        <v>202.25</v>
      </c>
      <c r="D60">
        <v>202.5</v>
      </c>
      <c r="E60">
        <v>195.05</v>
      </c>
      <c r="F60">
        <v>199.85</v>
      </c>
      <c r="G60">
        <v>200</v>
      </c>
      <c r="H60">
        <v>207.5</v>
      </c>
      <c r="I60">
        <v>34200</v>
      </c>
      <c r="J60">
        <v>6832514.7000000002</v>
      </c>
      <c r="K60" s="13">
        <v>43994</v>
      </c>
      <c r="L60">
        <v>934</v>
      </c>
      <c r="M60" t="s">
        <v>181</v>
      </c>
    </row>
    <row r="61" spans="1:13" x14ac:dyDescent="0.35">
      <c r="A61" t="s">
        <v>182</v>
      </c>
      <c r="B61" t="s">
        <v>18</v>
      </c>
      <c r="C61">
        <v>6.6</v>
      </c>
      <c r="D61">
        <v>6.8</v>
      </c>
      <c r="E61">
        <v>6.25</v>
      </c>
      <c r="F61">
        <v>6.75</v>
      </c>
      <c r="G61">
        <v>6.8</v>
      </c>
      <c r="H61">
        <v>6.55</v>
      </c>
      <c r="I61">
        <v>551759</v>
      </c>
      <c r="J61">
        <v>3586492.25</v>
      </c>
      <c r="K61" s="13">
        <v>43994</v>
      </c>
      <c r="L61">
        <v>835</v>
      </c>
      <c r="M61" t="s">
        <v>183</v>
      </c>
    </row>
    <row r="62" spans="1:13" x14ac:dyDescent="0.35">
      <c r="A62" t="s">
        <v>184</v>
      </c>
      <c r="B62" t="s">
        <v>18</v>
      </c>
      <c r="C62">
        <v>1851</v>
      </c>
      <c r="D62">
        <v>1890.6</v>
      </c>
      <c r="E62">
        <v>1830</v>
      </c>
      <c r="F62">
        <v>1879.05</v>
      </c>
      <c r="G62">
        <v>1886</v>
      </c>
      <c r="H62">
        <v>1890.6</v>
      </c>
      <c r="I62">
        <v>4557</v>
      </c>
      <c r="J62">
        <v>8476105.3499999996</v>
      </c>
      <c r="K62" s="13">
        <v>43994</v>
      </c>
      <c r="L62">
        <v>893</v>
      </c>
      <c r="M62" t="s">
        <v>185</v>
      </c>
    </row>
    <row r="63" spans="1:13" x14ac:dyDescent="0.35">
      <c r="A63" t="s">
        <v>186</v>
      </c>
      <c r="B63" t="s">
        <v>18</v>
      </c>
      <c r="C63">
        <v>14.9</v>
      </c>
      <c r="D63">
        <v>14.95</v>
      </c>
      <c r="E63">
        <v>14</v>
      </c>
      <c r="F63">
        <v>14.9</v>
      </c>
      <c r="G63">
        <v>14.85</v>
      </c>
      <c r="H63">
        <v>15.05</v>
      </c>
      <c r="I63">
        <v>92816</v>
      </c>
      <c r="J63">
        <v>1357284.75</v>
      </c>
      <c r="K63" s="13">
        <v>43994</v>
      </c>
      <c r="L63">
        <v>424</v>
      </c>
      <c r="M63" t="s">
        <v>187</v>
      </c>
    </row>
    <row r="64" spans="1:13" x14ac:dyDescent="0.35">
      <c r="A64" t="s">
        <v>188</v>
      </c>
      <c r="B64" t="s">
        <v>18</v>
      </c>
      <c r="C64">
        <v>505</v>
      </c>
      <c r="D64">
        <v>523.79999999999995</v>
      </c>
      <c r="E64">
        <v>501.5</v>
      </c>
      <c r="F64">
        <v>517.75</v>
      </c>
      <c r="G64">
        <v>518.15</v>
      </c>
      <c r="H64">
        <v>533.6</v>
      </c>
      <c r="I64">
        <v>32611</v>
      </c>
      <c r="J64">
        <v>16791848.649999999</v>
      </c>
      <c r="K64" s="13">
        <v>43994</v>
      </c>
      <c r="L64">
        <v>1706</v>
      </c>
      <c r="M64" t="s">
        <v>189</v>
      </c>
    </row>
    <row r="65" spans="1:13" x14ac:dyDescent="0.35">
      <c r="A65" t="s">
        <v>190</v>
      </c>
      <c r="B65" t="s">
        <v>18</v>
      </c>
      <c r="C65">
        <v>54.5</v>
      </c>
      <c r="D65">
        <v>66.849999999999994</v>
      </c>
      <c r="E65">
        <v>54.5</v>
      </c>
      <c r="F65">
        <v>64.55</v>
      </c>
      <c r="G65">
        <v>63.5</v>
      </c>
      <c r="H65">
        <v>56.3</v>
      </c>
      <c r="I65">
        <v>2689700</v>
      </c>
      <c r="J65">
        <v>166691120</v>
      </c>
      <c r="K65" s="13">
        <v>43994</v>
      </c>
      <c r="L65">
        <v>15669</v>
      </c>
      <c r="M65" t="s">
        <v>191</v>
      </c>
    </row>
    <row r="66" spans="1:13" x14ac:dyDescent="0.35">
      <c r="A66" t="s">
        <v>192</v>
      </c>
      <c r="B66" t="s">
        <v>18</v>
      </c>
      <c r="C66">
        <v>224.1</v>
      </c>
      <c r="D66">
        <v>246</v>
      </c>
      <c r="E66">
        <v>224.1</v>
      </c>
      <c r="F66">
        <v>232.25</v>
      </c>
      <c r="G66">
        <v>232</v>
      </c>
      <c r="H66">
        <v>236.55</v>
      </c>
      <c r="I66">
        <v>1956</v>
      </c>
      <c r="J66">
        <v>451807.9</v>
      </c>
      <c r="K66" s="13">
        <v>43994</v>
      </c>
      <c r="L66">
        <v>200</v>
      </c>
      <c r="M66" t="s">
        <v>193</v>
      </c>
    </row>
    <row r="67" spans="1:13" x14ac:dyDescent="0.35">
      <c r="A67" t="s">
        <v>194</v>
      </c>
      <c r="B67" t="s">
        <v>18</v>
      </c>
      <c r="C67">
        <v>46.5</v>
      </c>
      <c r="D67">
        <v>46.5</v>
      </c>
      <c r="E67">
        <v>40.799999999999997</v>
      </c>
      <c r="F67">
        <v>43.9</v>
      </c>
      <c r="G67">
        <v>44</v>
      </c>
      <c r="H67">
        <v>47.15</v>
      </c>
      <c r="I67">
        <v>112379</v>
      </c>
      <c r="J67">
        <v>4930791.75</v>
      </c>
      <c r="K67" s="13">
        <v>43994</v>
      </c>
      <c r="L67">
        <v>1665</v>
      </c>
      <c r="M67" t="s">
        <v>195</v>
      </c>
    </row>
    <row r="68" spans="1:13" x14ac:dyDescent="0.35">
      <c r="A68" t="s">
        <v>196</v>
      </c>
      <c r="B68" t="s">
        <v>18</v>
      </c>
      <c r="C68">
        <v>2300</v>
      </c>
      <c r="D68">
        <v>2397.9</v>
      </c>
      <c r="E68">
        <v>2300</v>
      </c>
      <c r="F68">
        <v>2355.9499999999998</v>
      </c>
      <c r="G68">
        <v>2358</v>
      </c>
      <c r="H68">
        <v>2357.8000000000002</v>
      </c>
      <c r="I68">
        <v>219005</v>
      </c>
      <c r="J68">
        <v>516403257.55000001</v>
      </c>
      <c r="K68" s="13">
        <v>43994</v>
      </c>
      <c r="L68">
        <v>22690</v>
      </c>
      <c r="M68" t="s">
        <v>197</v>
      </c>
    </row>
    <row r="69" spans="1:13" x14ac:dyDescent="0.35">
      <c r="A69" t="s">
        <v>198</v>
      </c>
      <c r="B69" t="s">
        <v>18</v>
      </c>
      <c r="C69">
        <v>2026.15</v>
      </c>
      <c r="D69">
        <v>2138.0500000000002</v>
      </c>
      <c r="E69">
        <v>2026</v>
      </c>
      <c r="F69">
        <v>2099.5</v>
      </c>
      <c r="G69">
        <v>2099</v>
      </c>
      <c r="H69">
        <v>2111.85</v>
      </c>
      <c r="I69">
        <v>51295</v>
      </c>
      <c r="J69">
        <v>106918014.7</v>
      </c>
      <c r="K69" s="13">
        <v>43994</v>
      </c>
      <c r="L69">
        <v>5675</v>
      </c>
      <c r="M69" t="s">
        <v>199</v>
      </c>
    </row>
    <row r="70" spans="1:13" x14ac:dyDescent="0.35">
      <c r="A70" t="s">
        <v>200</v>
      </c>
      <c r="B70" t="s">
        <v>18</v>
      </c>
      <c r="C70">
        <v>71.400000000000006</v>
      </c>
      <c r="D70">
        <v>81</v>
      </c>
      <c r="E70">
        <v>71.400000000000006</v>
      </c>
      <c r="F70">
        <v>80</v>
      </c>
      <c r="G70">
        <v>80</v>
      </c>
      <c r="H70">
        <v>79.099999999999994</v>
      </c>
      <c r="I70">
        <v>128397</v>
      </c>
      <c r="J70">
        <v>9859037.4499999993</v>
      </c>
      <c r="K70" s="13">
        <v>43994</v>
      </c>
      <c r="L70">
        <v>2511</v>
      </c>
      <c r="M70" t="s">
        <v>201</v>
      </c>
    </row>
    <row r="71" spans="1:13" x14ac:dyDescent="0.35">
      <c r="A71" t="s">
        <v>202</v>
      </c>
      <c r="B71" t="s">
        <v>18</v>
      </c>
      <c r="C71">
        <v>190.05</v>
      </c>
      <c r="D71">
        <v>206</v>
      </c>
      <c r="E71">
        <v>190</v>
      </c>
      <c r="F71">
        <v>197.2</v>
      </c>
      <c r="G71">
        <v>198.65</v>
      </c>
      <c r="H71">
        <v>192.45</v>
      </c>
      <c r="I71">
        <v>2520</v>
      </c>
      <c r="J71">
        <v>494622.4</v>
      </c>
      <c r="K71" s="13">
        <v>43994</v>
      </c>
      <c r="L71">
        <v>253</v>
      </c>
      <c r="M71" t="s">
        <v>203</v>
      </c>
    </row>
    <row r="72" spans="1:13" x14ac:dyDescent="0.35">
      <c r="A72" t="s">
        <v>204</v>
      </c>
      <c r="B72" t="s">
        <v>18</v>
      </c>
      <c r="C72">
        <v>10</v>
      </c>
      <c r="D72">
        <v>11</v>
      </c>
      <c r="E72">
        <v>10</v>
      </c>
      <c r="F72">
        <v>10.25</v>
      </c>
      <c r="G72">
        <v>10.25</v>
      </c>
      <c r="H72">
        <v>10.55</v>
      </c>
      <c r="I72">
        <v>2118</v>
      </c>
      <c r="J72">
        <v>21823</v>
      </c>
      <c r="K72" s="13">
        <v>43994</v>
      </c>
      <c r="L72">
        <v>48</v>
      </c>
      <c r="M72" t="s">
        <v>205</v>
      </c>
    </row>
    <row r="73" spans="1:13" x14ac:dyDescent="0.35">
      <c r="A73" t="s">
        <v>206</v>
      </c>
      <c r="B73" t="s">
        <v>18</v>
      </c>
      <c r="C73">
        <v>28.45</v>
      </c>
      <c r="D73">
        <v>28.45</v>
      </c>
      <c r="E73">
        <v>26.15</v>
      </c>
      <c r="F73">
        <v>28.45</v>
      </c>
      <c r="G73">
        <v>28.45</v>
      </c>
      <c r="H73">
        <v>27.1</v>
      </c>
      <c r="I73">
        <v>18752643</v>
      </c>
      <c r="J73">
        <v>518518084.85000002</v>
      </c>
      <c r="K73" s="13">
        <v>43994</v>
      </c>
      <c r="L73">
        <v>28498</v>
      </c>
      <c r="M73" t="s">
        <v>207</v>
      </c>
    </row>
    <row r="74" spans="1:13" x14ac:dyDescent="0.35">
      <c r="A74" t="s">
        <v>208</v>
      </c>
      <c r="B74" t="s">
        <v>18</v>
      </c>
      <c r="C74">
        <v>20.3</v>
      </c>
      <c r="D74">
        <v>23.2</v>
      </c>
      <c r="E74">
        <v>19.649999999999999</v>
      </c>
      <c r="F74">
        <v>22.25</v>
      </c>
      <c r="G74">
        <v>22.2</v>
      </c>
      <c r="H74">
        <v>21.4</v>
      </c>
      <c r="I74">
        <v>131573</v>
      </c>
      <c r="J74">
        <v>2859076.95</v>
      </c>
      <c r="K74" s="13">
        <v>43994</v>
      </c>
      <c r="L74">
        <v>614</v>
      </c>
      <c r="M74" t="s">
        <v>209</v>
      </c>
    </row>
    <row r="75" spans="1:13" x14ac:dyDescent="0.35">
      <c r="A75" t="s">
        <v>210</v>
      </c>
      <c r="B75" t="s">
        <v>18</v>
      </c>
      <c r="C75">
        <v>182</v>
      </c>
      <c r="D75">
        <v>214.85</v>
      </c>
      <c r="E75">
        <v>182</v>
      </c>
      <c r="F75">
        <v>213.4</v>
      </c>
      <c r="G75">
        <v>214.85</v>
      </c>
      <c r="H75">
        <v>195.35</v>
      </c>
      <c r="I75">
        <v>334560</v>
      </c>
      <c r="J75">
        <v>69091178.400000006</v>
      </c>
      <c r="K75" s="13">
        <v>43994</v>
      </c>
      <c r="L75">
        <v>5495</v>
      </c>
      <c r="M75" t="s">
        <v>211</v>
      </c>
    </row>
    <row r="76" spans="1:13" x14ac:dyDescent="0.35">
      <c r="A76" t="s">
        <v>212</v>
      </c>
      <c r="B76" t="s">
        <v>18</v>
      </c>
      <c r="C76">
        <v>1.1000000000000001</v>
      </c>
      <c r="D76">
        <v>1.1000000000000001</v>
      </c>
      <c r="E76">
        <v>1</v>
      </c>
      <c r="F76">
        <v>1.1000000000000001</v>
      </c>
      <c r="G76">
        <v>1.1000000000000001</v>
      </c>
      <c r="H76">
        <v>1.05</v>
      </c>
      <c r="I76">
        <v>93343</v>
      </c>
      <c r="J76">
        <v>100756.8</v>
      </c>
      <c r="K76" s="13">
        <v>43994</v>
      </c>
      <c r="L76">
        <v>101</v>
      </c>
      <c r="M76" t="s">
        <v>213</v>
      </c>
    </row>
    <row r="77" spans="1:13" x14ac:dyDescent="0.35">
      <c r="A77" t="s">
        <v>214</v>
      </c>
      <c r="B77" t="s">
        <v>18</v>
      </c>
      <c r="C77">
        <v>601.1</v>
      </c>
      <c r="D77">
        <v>661</v>
      </c>
      <c r="E77">
        <v>601.1</v>
      </c>
      <c r="F77">
        <v>656.7</v>
      </c>
      <c r="G77">
        <v>655</v>
      </c>
      <c r="H77">
        <v>640.9</v>
      </c>
      <c r="I77">
        <v>804320</v>
      </c>
      <c r="J77">
        <v>515687961.10000002</v>
      </c>
      <c r="K77" s="13">
        <v>43994</v>
      </c>
      <c r="L77">
        <v>15951</v>
      </c>
      <c r="M77" t="s">
        <v>215</v>
      </c>
    </row>
    <row r="78" spans="1:13" x14ac:dyDescent="0.35">
      <c r="A78" t="s">
        <v>216</v>
      </c>
      <c r="B78" t="s">
        <v>18</v>
      </c>
      <c r="C78">
        <v>1278.05</v>
      </c>
      <c r="D78">
        <v>1445</v>
      </c>
      <c r="E78">
        <v>1278.05</v>
      </c>
      <c r="F78">
        <v>1370.85</v>
      </c>
      <c r="G78">
        <v>1376</v>
      </c>
      <c r="H78">
        <v>1388.35</v>
      </c>
      <c r="I78">
        <v>79615</v>
      </c>
      <c r="J78">
        <v>110390979.90000001</v>
      </c>
      <c r="K78" s="13">
        <v>43994</v>
      </c>
      <c r="L78">
        <v>8569</v>
      </c>
      <c r="M78" t="s">
        <v>217</v>
      </c>
    </row>
    <row r="79" spans="1:13" x14ac:dyDescent="0.35">
      <c r="A79" t="s">
        <v>218</v>
      </c>
      <c r="B79" t="s">
        <v>18</v>
      </c>
      <c r="C79">
        <v>672.05</v>
      </c>
      <c r="D79">
        <v>672.15</v>
      </c>
      <c r="E79">
        <v>653.65</v>
      </c>
      <c r="F79">
        <v>662.45</v>
      </c>
      <c r="G79">
        <v>666</v>
      </c>
      <c r="H79">
        <v>672.1</v>
      </c>
      <c r="I79">
        <v>3714</v>
      </c>
      <c r="J79">
        <v>2456358.5</v>
      </c>
      <c r="K79" s="13">
        <v>43994</v>
      </c>
      <c r="L79">
        <v>310</v>
      </c>
      <c r="M79" t="s">
        <v>219</v>
      </c>
    </row>
    <row r="80" spans="1:13" x14ac:dyDescent="0.35">
      <c r="A80" t="s">
        <v>220</v>
      </c>
      <c r="B80" t="s">
        <v>18</v>
      </c>
      <c r="C80">
        <v>181.9</v>
      </c>
      <c r="D80">
        <v>194.95</v>
      </c>
      <c r="E80">
        <v>181.65</v>
      </c>
      <c r="F80">
        <v>193.7</v>
      </c>
      <c r="G80">
        <v>193.35</v>
      </c>
      <c r="H80">
        <v>189.5</v>
      </c>
      <c r="I80">
        <v>5199081</v>
      </c>
      <c r="J80">
        <v>991565201.70000005</v>
      </c>
      <c r="K80" s="13">
        <v>43994</v>
      </c>
      <c r="L80">
        <v>59537</v>
      </c>
      <c r="M80" t="s">
        <v>221</v>
      </c>
    </row>
    <row r="81" spans="1:13" x14ac:dyDescent="0.35">
      <c r="A81" t="s">
        <v>222</v>
      </c>
      <c r="B81" t="s">
        <v>18</v>
      </c>
      <c r="C81">
        <v>15.4</v>
      </c>
      <c r="D81">
        <v>15.45</v>
      </c>
      <c r="E81">
        <v>14.55</v>
      </c>
      <c r="F81">
        <v>15.15</v>
      </c>
      <c r="G81">
        <v>15.45</v>
      </c>
      <c r="H81">
        <v>15.6</v>
      </c>
      <c r="I81">
        <v>2746</v>
      </c>
      <c r="J81">
        <v>41242.85</v>
      </c>
      <c r="K81" s="13">
        <v>43994</v>
      </c>
      <c r="L81">
        <v>46</v>
      </c>
      <c r="M81" t="s">
        <v>223</v>
      </c>
    </row>
    <row r="82" spans="1:13" x14ac:dyDescent="0.35">
      <c r="A82" t="s">
        <v>224</v>
      </c>
      <c r="B82" t="s">
        <v>18</v>
      </c>
      <c r="C82">
        <v>14.8</v>
      </c>
      <c r="D82">
        <v>16.5</v>
      </c>
      <c r="E82">
        <v>14.75</v>
      </c>
      <c r="F82">
        <v>15.95</v>
      </c>
      <c r="G82">
        <v>16.399999999999999</v>
      </c>
      <c r="H82">
        <v>15</v>
      </c>
      <c r="I82">
        <v>8884</v>
      </c>
      <c r="J82">
        <v>137432.25</v>
      </c>
      <c r="K82" s="13">
        <v>43994</v>
      </c>
      <c r="L82">
        <v>80</v>
      </c>
      <c r="M82" t="s">
        <v>225</v>
      </c>
    </row>
    <row r="83" spans="1:13" x14ac:dyDescent="0.35">
      <c r="A83" t="s">
        <v>3397</v>
      </c>
      <c r="B83" t="s">
        <v>3381</v>
      </c>
      <c r="C83">
        <v>7.45</v>
      </c>
      <c r="D83">
        <v>8.15</v>
      </c>
      <c r="E83">
        <v>7.45</v>
      </c>
      <c r="F83">
        <v>8.15</v>
      </c>
      <c r="G83">
        <v>8.15</v>
      </c>
      <c r="H83">
        <v>7.8</v>
      </c>
      <c r="I83">
        <v>16000</v>
      </c>
      <c r="J83">
        <v>124800</v>
      </c>
      <c r="K83" s="13">
        <v>43994</v>
      </c>
      <c r="L83">
        <v>2</v>
      </c>
      <c r="M83" t="s">
        <v>3398</v>
      </c>
    </row>
    <row r="84" spans="1:13" x14ac:dyDescent="0.35">
      <c r="A84" t="s">
        <v>226</v>
      </c>
      <c r="B84" t="s">
        <v>18</v>
      </c>
      <c r="C84">
        <v>374.7</v>
      </c>
      <c r="D84">
        <v>391.9</v>
      </c>
      <c r="E84">
        <v>365</v>
      </c>
      <c r="F84">
        <v>388.15</v>
      </c>
      <c r="G84">
        <v>389</v>
      </c>
      <c r="H84">
        <v>381.75</v>
      </c>
      <c r="I84">
        <v>293135</v>
      </c>
      <c r="J84">
        <v>111730088.5</v>
      </c>
      <c r="K84" s="13">
        <v>43994</v>
      </c>
      <c r="L84">
        <v>7845</v>
      </c>
      <c r="M84" t="s">
        <v>227</v>
      </c>
    </row>
    <row r="85" spans="1:13" x14ac:dyDescent="0.35">
      <c r="A85" t="s">
        <v>228</v>
      </c>
      <c r="B85" t="s">
        <v>18</v>
      </c>
      <c r="C85">
        <v>22.7</v>
      </c>
      <c r="D85">
        <v>24.75</v>
      </c>
      <c r="E85">
        <v>22.5</v>
      </c>
      <c r="F85">
        <v>24.3</v>
      </c>
      <c r="G85">
        <v>24.55</v>
      </c>
      <c r="H85">
        <v>23.65</v>
      </c>
      <c r="I85">
        <v>582269</v>
      </c>
      <c r="J85">
        <v>13482053.65</v>
      </c>
      <c r="K85" s="13">
        <v>43994</v>
      </c>
      <c r="L85">
        <v>1626</v>
      </c>
      <c r="M85" t="s">
        <v>229</v>
      </c>
    </row>
    <row r="86" spans="1:13" x14ac:dyDescent="0.35">
      <c r="A86" t="s">
        <v>230</v>
      </c>
      <c r="B86" t="s">
        <v>18</v>
      </c>
      <c r="C86">
        <v>5.7</v>
      </c>
      <c r="D86">
        <v>5.85</v>
      </c>
      <c r="E86">
        <v>5.35</v>
      </c>
      <c r="F86">
        <v>5.85</v>
      </c>
      <c r="G86">
        <v>5.85</v>
      </c>
      <c r="H86">
        <v>5.6</v>
      </c>
      <c r="I86">
        <v>2700367</v>
      </c>
      <c r="J86">
        <v>14959487.9</v>
      </c>
      <c r="K86" s="13">
        <v>43994</v>
      </c>
      <c r="L86">
        <v>3581</v>
      </c>
      <c r="M86" t="s">
        <v>231</v>
      </c>
    </row>
    <row r="87" spans="1:13" x14ac:dyDescent="0.35">
      <c r="A87" t="s">
        <v>232</v>
      </c>
      <c r="B87" t="s">
        <v>18</v>
      </c>
      <c r="C87">
        <v>210.1</v>
      </c>
      <c r="D87">
        <v>229.9</v>
      </c>
      <c r="E87">
        <v>210.1</v>
      </c>
      <c r="F87">
        <v>225.1</v>
      </c>
      <c r="G87">
        <v>229</v>
      </c>
      <c r="H87">
        <v>225.6</v>
      </c>
      <c r="I87">
        <v>12951</v>
      </c>
      <c r="J87">
        <v>2866403.15</v>
      </c>
      <c r="K87" s="13">
        <v>43994</v>
      </c>
      <c r="L87">
        <v>355</v>
      </c>
      <c r="M87" t="s">
        <v>233</v>
      </c>
    </row>
    <row r="88" spans="1:13" x14ac:dyDescent="0.35">
      <c r="A88" t="s">
        <v>234</v>
      </c>
      <c r="B88" t="s">
        <v>18</v>
      </c>
      <c r="C88">
        <v>243</v>
      </c>
      <c r="D88">
        <v>258</v>
      </c>
      <c r="E88">
        <v>238</v>
      </c>
      <c r="F88">
        <v>255.75</v>
      </c>
      <c r="G88">
        <v>253.25</v>
      </c>
      <c r="H88">
        <v>255</v>
      </c>
      <c r="I88">
        <v>46688</v>
      </c>
      <c r="J88">
        <v>11568929.5</v>
      </c>
      <c r="K88" s="13">
        <v>43994</v>
      </c>
      <c r="L88">
        <v>1865</v>
      </c>
      <c r="M88" t="s">
        <v>235</v>
      </c>
    </row>
    <row r="89" spans="1:13" x14ac:dyDescent="0.35">
      <c r="A89" t="s">
        <v>236</v>
      </c>
      <c r="B89" t="s">
        <v>18</v>
      </c>
      <c r="C89">
        <v>9.9</v>
      </c>
      <c r="D89">
        <v>10.199999999999999</v>
      </c>
      <c r="E89">
        <v>9.5</v>
      </c>
      <c r="F89">
        <v>9.9499999999999993</v>
      </c>
      <c r="G89">
        <v>9.9499999999999993</v>
      </c>
      <c r="H89">
        <v>9.9</v>
      </c>
      <c r="I89">
        <v>6691</v>
      </c>
      <c r="J89">
        <v>65077.55</v>
      </c>
      <c r="K89" s="13">
        <v>43994</v>
      </c>
      <c r="L89">
        <v>49</v>
      </c>
      <c r="M89" t="s">
        <v>237</v>
      </c>
    </row>
    <row r="90" spans="1:13" x14ac:dyDescent="0.35">
      <c r="A90" t="s">
        <v>238</v>
      </c>
      <c r="B90" t="s">
        <v>18</v>
      </c>
      <c r="C90">
        <v>0.55000000000000004</v>
      </c>
      <c r="D90">
        <v>0.6</v>
      </c>
      <c r="E90">
        <v>0.55000000000000004</v>
      </c>
      <c r="F90">
        <v>0.6</v>
      </c>
      <c r="G90">
        <v>0.6</v>
      </c>
      <c r="H90">
        <v>0.55000000000000004</v>
      </c>
      <c r="I90">
        <v>47106</v>
      </c>
      <c r="J90">
        <v>27933.75</v>
      </c>
      <c r="K90" s="13">
        <v>43994</v>
      </c>
      <c r="L90">
        <v>30</v>
      </c>
      <c r="M90" t="s">
        <v>239</v>
      </c>
    </row>
    <row r="91" spans="1:13" x14ac:dyDescent="0.35">
      <c r="A91" t="s">
        <v>3399</v>
      </c>
      <c r="B91" t="s">
        <v>3391</v>
      </c>
      <c r="C91">
        <v>3.9</v>
      </c>
      <c r="D91">
        <v>4</v>
      </c>
      <c r="E91">
        <v>3.85</v>
      </c>
      <c r="F91">
        <v>3.95</v>
      </c>
      <c r="G91">
        <v>3.9</v>
      </c>
      <c r="H91">
        <v>4.05</v>
      </c>
      <c r="I91">
        <v>375078</v>
      </c>
      <c r="J91">
        <v>1447388.85</v>
      </c>
      <c r="K91" s="13">
        <v>43994</v>
      </c>
      <c r="L91">
        <v>219</v>
      </c>
      <c r="M91" t="s">
        <v>3400</v>
      </c>
    </row>
    <row r="92" spans="1:13" x14ac:dyDescent="0.35">
      <c r="A92" t="s">
        <v>240</v>
      </c>
      <c r="B92" t="s">
        <v>18</v>
      </c>
      <c r="C92">
        <v>3.45</v>
      </c>
      <c r="D92">
        <v>3.55</v>
      </c>
      <c r="E92">
        <v>3.4</v>
      </c>
      <c r="F92">
        <v>3.45</v>
      </c>
      <c r="G92">
        <v>3.5</v>
      </c>
      <c r="H92">
        <v>3.55</v>
      </c>
      <c r="I92">
        <v>124541</v>
      </c>
      <c r="J92">
        <v>428345.5</v>
      </c>
      <c r="K92" s="13">
        <v>43994</v>
      </c>
      <c r="L92">
        <v>60</v>
      </c>
      <c r="M92" t="s">
        <v>241</v>
      </c>
    </row>
    <row r="93" spans="1:13" x14ac:dyDescent="0.35">
      <c r="A93" t="s">
        <v>242</v>
      </c>
      <c r="B93" t="s">
        <v>18</v>
      </c>
      <c r="C93">
        <v>325.45</v>
      </c>
      <c r="D93">
        <v>352.05</v>
      </c>
      <c r="E93">
        <v>325.45</v>
      </c>
      <c r="F93">
        <v>349.5</v>
      </c>
      <c r="G93">
        <v>345</v>
      </c>
      <c r="H93">
        <v>342.55</v>
      </c>
      <c r="I93">
        <v>8557</v>
      </c>
      <c r="J93">
        <v>2869563.4</v>
      </c>
      <c r="K93" s="13">
        <v>43994</v>
      </c>
      <c r="L93">
        <v>409</v>
      </c>
      <c r="M93" t="s">
        <v>243</v>
      </c>
    </row>
    <row r="94" spans="1:13" x14ac:dyDescent="0.35">
      <c r="A94" t="s">
        <v>244</v>
      </c>
      <c r="B94" t="s">
        <v>18</v>
      </c>
      <c r="C94">
        <v>314.8</v>
      </c>
      <c r="D94">
        <v>314.8</v>
      </c>
      <c r="E94">
        <v>306.5</v>
      </c>
      <c r="F94">
        <v>309.60000000000002</v>
      </c>
      <c r="G94">
        <v>308.2</v>
      </c>
      <c r="H94">
        <v>316.85000000000002</v>
      </c>
      <c r="I94">
        <v>16287</v>
      </c>
      <c r="J94">
        <v>5046219.1500000004</v>
      </c>
      <c r="K94" s="13">
        <v>43994</v>
      </c>
      <c r="L94">
        <v>684</v>
      </c>
      <c r="M94" t="s">
        <v>245</v>
      </c>
    </row>
    <row r="95" spans="1:13" x14ac:dyDescent="0.35">
      <c r="A95" t="s">
        <v>246</v>
      </c>
      <c r="B95" t="s">
        <v>18</v>
      </c>
      <c r="C95">
        <v>116.15</v>
      </c>
      <c r="D95">
        <v>126.95</v>
      </c>
      <c r="E95">
        <v>116.15</v>
      </c>
      <c r="F95">
        <v>126.25</v>
      </c>
      <c r="G95">
        <v>126.8</v>
      </c>
      <c r="H95">
        <v>126.4</v>
      </c>
      <c r="I95">
        <v>4356</v>
      </c>
      <c r="J95">
        <v>539809.44999999995</v>
      </c>
      <c r="K95" s="13">
        <v>43994</v>
      </c>
      <c r="L95">
        <v>362</v>
      </c>
      <c r="M95" t="s">
        <v>247</v>
      </c>
    </row>
    <row r="96" spans="1:13" x14ac:dyDescent="0.35">
      <c r="A96" t="s">
        <v>248</v>
      </c>
      <c r="B96" t="s">
        <v>18</v>
      </c>
      <c r="C96">
        <v>105.85</v>
      </c>
      <c r="D96">
        <v>108.4</v>
      </c>
      <c r="E96">
        <v>102.6</v>
      </c>
      <c r="F96">
        <v>107.55</v>
      </c>
      <c r="G96">
        <v>107</v>
      </c>
      <c r="H96">
        <v>107.05</v>
      </c>
      <c r="I96">
        <v>27300</v>
      </c>
      <c r="J96">
        <v>2867574.65</v>
      </c>
      <c r="K96" s="13">
        <v>43994</v>
      </c>
      <c r="L96">
        <v>772</v>
      </c>
      <c r="M96" t="s">
        <v>249</v>
      </c>
    </row>
    <row r="97" spans="1:13" x14ac:dyDescent="0.35">
      <c r="A97" t="s">
        <v>250</v>
      </c>
      <c r="B97" t="s">
        <v>18</v>
      </c>
      <c r="C97">
        <v>212</v>
      </c>
      <c r="D97">
        <v>237.7</v>
      </c>
      <c r="E97">
        <v>212</v>
      </c>
      <c r="F97">
        <v>234.85</v>
      </c>
      <c r="G97">
        <v>235.5</v>
      </c>
      <c r="H97">
        <v>230.95</v>
      </c>
      <c r="I97">
        <v>301363</v>
      </c>
      <c r="J97">
        <v>67675287.849999994</v>
      </c>
      <c r="K97" s="13">
        <v>43994</v>
      </c>
      <c r="L97">
        <v>5679</v>
      </c>
      <c r="M97" t="s">
        <v>251</v>
      </c>
    </row>
    <row r="98" spans="1:13" x14ac:dyDescent="0.35">
      <c r="A98" t="s">
        <v>252</v>
      </c>
      <c r="B98" t="s">
        <v>18</v>
      </c>
      <c r="C98">
        <v>1549</v>
      </c>
      <c r="D98">
        <v>1650</v>
      </c>
      <c r="E98">
        <v>1524.75</v>
      </c>
      <c r="F98">
        <v>1599.2</v>
      </c>
      <c r="G98">
        <v>1604.75</v>
      </c>
      <c r="H98">
        <v>1618.8</v>
      </c>
      <c r="I98">
        <v>44638</v>
      </c>
      <c r="J98">
        <v>71135036.799999997</v>
      </c>
      <c r="K98" s="13">
        <v>43994</v>
      </c>
      <c r="L98">
        <v>6197</v>
      </c>
      <c r="M98" t="s">
        <v>253</v>
      </c>
    </row>
    <row r="99" spans="1:13" x14ac:dyDescent="0.35">
      <c r="A99" t="s">
        <v>254</v>
      </c>
      <c r="B99" t="s">
        <v>18</v>
      </c>
      <c r="C99">
        <v>816.25</v>
      </c>
      <c r="D99">
        <v>859</v>
      </c>
      <c r="E99">
        <v>813</v>
      </c>
      <c r="F99">
        <v>853.9</v>
      </c>
      <c r="G99">
        <v>848.65</v>
      </c>
      <c r="H99">
        <v>844.5</v>
      </c>
      <c r="I99">
        <v>300437</v>
      </c>
      <c r="J99">
        <v>252469095.25</v>
      </c>
      <c r="K99" s="13">
        <v>43994</v>
      </c>
      <c r="L99">
        <v>13623</v>
      </c>
      <c r="M99" t="s">
        <v>255</v>
      </c>
    </row>
    <row r="100" spans="1:13" x14ac:dyDescent="0.35">
      <c r="A100" t="s">
        <v>256</v>
      </c>
      <c r="B100" t="s">
        <v>18</v>
      </c>
      <c r="C100">
        <v>93.6</v>
      </c>
      <c r="D100">
        <v>96.7</v>
      </c>
      <c r="E100">
        <v>90.9</v>
      </c>
      <c r="F100">
        <v>95.2</v>
      </c>
      <c r="G100">
        <v>95.5</v>
      </c>
      <c r="H100">
        <v>97.7</v>
      </c>
      <c r="I100">
        <v>100639</v>
      </c>
      <c r="J100">
        <v>9393974.75</v>
      </c>
      <c r="K100" s="13">
        <v>43994</v>
      </c>
      <c r="L100">
        <v>2784</v>
      </c>
      <c r="M100" t="s">
        <v>257</v>
      </c>
    </row>
    <row r="101" spans="1:13" x14ac:dyDescent="0.35">
      <c r="A101" t="s">
        <v>258</v>
      </c>
      <c r="B101" t="s">
        <v>18</v>
      </c>
      <c r="C101">
        <v>1305</v>
      </c>
      <c r="D101">
        <v>1410</v>
      </c>
      <c r="E101">
        <v>1302.2</v>
      </c>
      <c r="F101">
        <v>1403.6</v>
      </c>
      <c r="G101">
        <v>1394.9</v>
      </c>
      <c r="H101">
        <v>1347.55</v>
      </c>
      <c r="I101">
        <v>1340070</v>
      </c>
      <c r="J101">
        <v>1853308457.7</v>
      </c>
      <c r="K101" s="13">
        <v>43994</v>
      </c>
      <c r="L101">
        <v>76428</v>
      </c>
      <c r="M101" t="s">
        <v>259</v>
      </c>
    </row>
    <row r="102" spans="1:13" x14ac:dyDescent="0.35">
      <c r="A102" t="s">
        <v>260</v>
      </c>
      <c r="B102" t="s">
        <v>18</v>
      </c>
      <c r="C102">
        <v>331</v>
      </c>
      <c r="D102">
        <v>348.9</v>
      </c>
      <c r="E102">
        <v>331</v>
      </c>
      <c r="F102">
        <v>345.85</v>
      </c>
      <c r="G102">
        <v>342.25</v>
      </c>
      <c r="H102">
        <v>350</v>
      </c>
      <c r="I102">
        <v>27522</v>
      </c>
      <c r="J102">
        <v>9353765.3499999996</v>
      </c>
      <c r="K102" s="13">
        <v>43994</v>
      </c>
      <c r="L102">
        <v>2130</v>
      </c>
      <c r="M102" t="s">
        <v>261</v>
      </c>
    </row>
    <row r="103" spans="1:13" x14ac:dyDescent="0.35">
      <c r="A103" t="s">
        <v>262</v>
      </c>
      <c r="B103" t="s">
        <v>18</v>
      </c>
      <c r="C103">
        <v>97.5</v>
      </c>
      <c r="D103">
        <v>107.8</v>
      </c>
      <c r="E103">
        <v>97.5</v>
      </c>
      <c r="F103">
        <v>106.65</v>
      </c>
      <c r="G103">
        <v>106.7</v>
      </c>
      <c r="H103">
        <v>105</v>
      </c>
      <c r="I103">
        <v>9441933</v>
      </c>
      <c r="J103">
        <v>972519593.85000002</v>
      </c>
      <c r="K103" s="13">
        <v>43994</v>
      </c>
      <c r="L103">
        <v>39789</v>
      </c>
      <c r="M103" t="s">
        <v>263</v>
      </c>
    </row>
    <row r="104" spans="1:13" x14ac:dyDescent="0.35">
      <c r="A104" t="s">
        <v>264</v>
      </c>
      <c r="B104" t="s">
        <v>18</v>
      </c>
      <c r="C104">
        <v>495</v>
      </c>
      <c r="D104">
        <v>539.4</v>
      </c>
      <c r="E104">
        <v>469.95</v>
      </c>
      <c r="F104">
        <v>500.8</v>
      </c>
      <c r="G104">
        <v>496</v>
      </c>
      <c r="H104">
        <v>495</v>
      </c>
      <c r="I104">
        <v>160</v>
      </c>
      <c r="J104">
        <v>79562.149999999994</v>
      </c>
      <c r="K104" s="13">
        <v>43994</v>
      </c>
      <c r="L104">
        <v>43</v>
      </c>
      <c r="M104" t="s">
        <v>265</v>
      </c>
    </row>
    <row r="105" spans="1:13" x14ac:dyDescent="0.35">
      <c r="A105" t="s">
        <v>266</v>
      </c>
      <c r="B105" t="s">
        <v>18</v>
      </c>
      <c r="C105">
        <v>97.65</v>
      </c>
      <c r="D105">
        <v>101.75</v>
      </c>
      <c r="E105">
        <v>97.65</v>
      </c>
      <c r="F105">
        <v>100.35</v>
      </c>
      <c r="G105">
        <v>100.4</v>
      </c>
      <c r="H105">
        <v>101.65</v>
      </c>
      <c r="I105">
        <v>113624</v>
      </c>
      <c r="J105">
        <v>11322135.949999999</v>
      </c>
      <c r="K105" s="13">
        <v>43994</v>
      </c>
      <c r="L105">
        <v>1806</v>
      </c>
      <c r="M105" t="s">
        <v>267</v>
      </c>
    </row>
    <row r="106" spans="1:13" x14ac:dyDescent="0.35">
      <c r="A106" t="s">
        <v>268</v>
      </c>
      <c r="B106" t="s">
        <v>18</v>
      </c>
      <c r="C106">
        <v>19.8</v>
      </c>
      <c r="D106">
        <v>24</v>
      </c>
      <c r="E106">
        <v>19.05</v>
      </c>
      <c r="F106">
        <v>21.05</v>
      </c>
      <c r="G106">
        <v>20.8</v>
      </c>
      <c r="H106">
        <v>20.45</v>
      </c>
      <c r="I106">
        <v>20400</v>
      </c>
      <c r="J106">
        <v>428246.9</v>
      </c>
      <c r="K106" s="13">
        <v>43994</v>
      </c>
      <c r="L106">
        <v>299</v>
      </c>
      <c r="M106" t="s">
        <v>269</v>
      </c>
    </row>
    <row r="107" spans="1:13" x14ac:dyDescent="0.35">
      <c r="A107" t="s">
        <v>270</v>
      </c>
      <c r="B107" t="s">
        <v>18</v>
      </c>
      <c r="C107">
        <v>10.85</v>
      </c>
      <c r="D107">
        <v>11.1</v>
      </c>
      <c r="E107">
        <v>10.75</v>
      </c>
      <c r="F107">
        <v>10.95</v>
      </c>
      <c r="G107">
        <v>10.9</v>
      </c>
      <c r="H107">
        <v>11.2</v>
      </c>
      <c r="I107">
        <v>32792</v>
      </c>
      <c r="J107">
        <v>356279.5</v>
      </c>
      <c r="K107" s="13">
        <v>43994</v>
      </c>
      <c r="L107">
        <v>152</v>
      </c>
      <c r="M107" t="s">
        <v>271</v>
      </c>
    </row>
    <row r="108" spans="1:13" x14ac:dyDescent="0.35">
      <c r="A108" t="s">
        <v>3401</v>
      </c>
      <c r="B108" t="s">
        <v>3391</v>
      </c>
      <c r="C108">
        <v>2.2000000000000002</v>
      </c>
      <c r="D108">
        <v>2.2000000000000002</v>
      </c>
      <c r="E108">
        <v>2.15</v>
      </c>
      <c r="F108">
        <v>2.2000000000000002</v>
      </c>
      <c r="G108">
        <v>2.2000000000000002</v>
      </c>
      <c r="H108">
        <v>2.1</v>
      </c>
      <c r="I108">
        <v>112220</v>
      </c>
      <c r="J108">
        <v>246465.55</v>
      </c>
      <c r="K108" s="13">
        <v>43994</v>
      </c>
      <c r="L108">
        <v>95</v>
      </c>
      <c r="M108" t="s">
        <v>3402</v>
      </c>
    </row>
    <row r="109" spans="1:13" x14ac:dyDescent="0.35">
      <c r="A109" t="s">
        <v>272</v>
      </c>
      <c r="B109" t="s">
        <v>18</v>
      </c>
      <c r="C109">
        <v>10.9</v>
      </c>
      <c r="D109">
        <v>10.95</v>
      </c>
      <c r="E109">
        <v>10.15</v>
      </c>
      <c r="F109">
        <v>10.95</v>
      </c>
      <c r="G109">
        <v>10.95</v>
      </c>
      <c r="H109">
        <v>10.65</v>
      </c>
      <c r="I109">
        <v>79</v>
      </c>
      <c r="J109">
        <v>860.55</v>
      </c>
      <c r="K109" s="13">
        <v>43994</v>
      </c>
      <c r="L109">
        <v>7</v>
      </c>
      <c r="M109" t="s">
        <v>273</v>
      </c>
    </row>
    <row r="110" spans="1:13" x14ac:dyDescent="0.35">
      <c r="A110" t="s">
        <v>274</v>
      </c>
      <c r="B110" t="s">
        <v>18</v>
      </c>
      <c r="C110">
        <v>63.6</v>
      </c>
      <c r="D110">
        <v>68.5</v>
      </c>
      <c r="E110">
        <v>63</v>
      </c>
      <c r="F110">
        <v>67.650000000000006</v>
      </c>
      <c r="G110">
        <v>67.849999999999994</v>
      </c>
      <c r="H110">
        <v>65.349999999999994</v>
      </c>
      <c r="I110">
        <v>48531</v>
      </c>
      <c r="J110">
        <v>3231475.9</v>
      </c>
      <c r="K110" s="13">
        <v>43994</v>
      </c>
      <c r="L110">
        <v>695</v>
      </c>
      <c r="M110" t="s">
        <v>275</v>
      </c>
    </row>
    <row r="111" spans="1:13" x14ac:dyDescent="0.35">
      <c r="A111" t="s">
        <v>276</v>
      </c>
      <c r="B111" t="s">
        <v>18</v>
      </c>
      <c r="C111">
        <v>13.5</v>
      </c>
      <c r="D111">
        <v>14.25</v>
      </c>
      <c r="E111">
        <v>13.2</v>
      </c>
      <c r="F111">
        <v>13.8</v>
      </c>
      <c r="G111">
        <v>13.8</v>
      </c>
      <c r="H111">
        <v>13.7</v>
      </c>
      <c r="I111">
        <v>2350</v>
      </c>
      <c r="J111">
        <v>32257.25</v>
      </c>
      <c r="K111" s="13">
        <v>43994</v>
      </c>
      <c r="L111">
        <v>45</v>
      </c>
      <c r="M111" t="s">
        <v>277</v>
      </c>
    </row>
    <row r="112" spans="1:13" x14ac:dyDescent="0.35">
      <c r="A112" t="s">
        <v>278</v>
      </c>
      <c r="B112" t="s">
        <v>18</v>
      </c>
      <c r="C112">
        <v>22.5</v>
      </c>
      <c r="D112">
        <v>24.65</v>
      </c>
      <c r="E112">
        <v>22.45</v>
      </c>
      <c r="F112">
        <v>24</v>
      </c>
      <c r="G112">
        <v>24</v>
      </c>
      <c r="H112">
        <v>23.6</v>
      </c>
      <c r="I112">
        <v>22847</v>
      </c>
      <c r="J112">
        <v>545920.9</v>
      </c>
      <c r="K112" s="13">
        <v>43994</v>
      </c>
      <c r="L112">
        <v>117</v>
      </c>
      <c r="M112" t="s">
        <v>279</v>
      </c>
    </row>
    <row r="113" spans="1:13" x14ac:dyDescent="0.35">
      <c r="A113" t="s">
        <v>280</v>
      </c>
      <c r="B113" t="s">
        <v>18</v>
      </c>
      <c r="C113">
        <v>400.65</v>
      </c>
      <c r="D113">
        <v>437.9</v>
      </c>
      <c r="E113">
        <v>400.65</v>
      </c>
      <c r="F113">
        <v>432.1</v>
      </c>
      <c r="G113">
        <v>425</v>
      </c>
      <c r="H113">
        <v>421.7</v>
      </c>
      <c r="I113">
        <v>29379</v>
      </c>
      <c r="J113">
        <v>12243777.65</v>
      </c>
      <c r="K113" s="13">
        <v>43994</v>
      </c>
      <c r="L113">
        <v>1135</v>
      </c>
      <c r="M113" t="s">
        <v>281</v>
      </c>
    </row>
    <row r="114" spans="1:13" x14ac:dyDescent="0.35">
      <c r="A114" t="s">
        <v>282</v>
      </c>
      <c r="B114" t="s">
        <v>18</v>
      </c>
      <c r="C114">
        <v>24.35</v>
      </c>
      <c r="D114">
        <v>25.05</v>
      </c>
      <c r="E114">
        <v>22.65</v>
      </c>
      <c r="F114">
        <v>24.35</v>
      </c>
      <c r="G114">
        <v>24.1</v>
      </c>
      <c r="H114">
        <v>24.3</v>
      </c>
      <c r="I114">
        <v>15645</v>
      </c>
      <c r="J114">
        <v>366932.5</v>
      </c>
      <c r="K114" s="13">
        <v>43994</v>
      </c>
      <c r="L114">
        <v>140</v>
      </c>
      <c r="M114" t="s">
        <v>283</v>
      </c>
    </row>
    <row r="115" spans="1:13" x14ac:dyDescent="0.35">
      <c r="A115" t="s">
        <v>284</v>
      </c>
      <c r="B115" t="s">
        <v>18</v>
      </c>
      <c r="C115">
        <v>51</v>
      </c>
      <c r="D115">
        <v>54</v>
      </c>
      <c r="E115">
        <v>51</v>
      </c>
      <c r="F115">
        <v>51</v>
      </c>
      <c r="G115">
        <v>51</v>
      </c>
      <c r="H115">
        <v>53.65</v>
      </c>
      <c r="I115">
        <v>1568</v>
      </c>
      <c r="J115">
        <v>80323.5</v>
      </c>
      <c r="K115" s="13">
        <v>43994</v>
      </c>
      <c r="L115">
        <v>40</v>
      </c>
      <c r="M115" t="s">
        <v>285</v>
      </c>
    </row>
    <row r="116" spans="1:13" x14ac:dyDescent="0.35">
      <c r="A116" t="s">
        <v>3403</v>
      </c>
      <c r="B116" t="s">
        <v>3391</v>
      </c>
      <c r="C116">
        <v>10.55</v>
      </c>
      <c r="D116">
        <v>11.55</v>
      </c>
      <c r="E116">
        <v>10.45</v>
      </c>
      <c r="F116">
        <v>11.35</v>
      </c>
      <c r="G116">
        <v>11.55</v>
      </c>
      <c r="H116">
        <v>11</v>
      </c>
      <c r="I116">
        <v>46304</v>
      </c>
      <c r="J116">
        <v>511496.6</v>
      </c>
      <c r="K116" s="13">
        <v>43994</v>
      </c>
      <c r="L116">
        <v>96</v>
      </c>
      <c r="M116" t="s">
        <v>3404</v>
      </c>
    </row>
    <row r="117" spans="1:13" x14ac:dyDescent="0.35">
      <c r="A117" t="s">
        <v>286</v>
      </c>
      <c r="B117" t="s">
        <v>18</v>
      </c>
      <c r="C117">
        <v>14</v>
      </c>
      <c r="D117">
        <v>14.85</v>
      </c>
      <c r="E117">
        <v>13.95</v>
      </c>
      <c r="F117">
        <v>14.6</v>
      </c>
      <c r="G117">
        <v>14.6</v>
      </c>
      <c r="H117">
        <v>14.65</v>
      </c>
      <c r="I117">
        <v>8601</v>
      </c>
      <c r="J117">
        <v>124329.85</v>
      </c>
      <c r="K117" s="13">
        <v>43994</v>
      </c>
      <c r="L117">
        <v>46</v>
      </c>
      <c r="M117" t="s">
        <v>287</v>
      </c>
    </row>
    <row r="118" spans="1:13" x14ac:dyDescent="0.35">
      <c r="A118" t="s">
        <v>288</v>
      </c>
      <c r="B118" t="s">
        <v>18</v>
      </c>
      <c r="C118">
        <v>173.9</v>
      </c>
      <c r="D118">
        <v>203.9</v>
      </c>
      <c r="E118">
        <v>165.5</v>
      </c>
      <c r="F118">
        <v>187.35</v>
      </c>
      <c r="G118">
        <v>185</v>
      </c>
      <c r="H118">
        <v>173.9</v>
      </c>
      <c r="I118">
        <v>4130</v>
      </c>
      <c r="J118">
        <v>743527.05</v>
      </c>
      <c r="K118" s="13">
        <v>43994</v>
      </c>
      <c r="L118">
        <v>155</v>
      </c>
      <c r="M118" t="s">
        <v>289</v>
      </c>
    </row>
    <row r="119" spans="1:13" x14ac:dyDescent="0.35">
      <c r="A119" t="s">
        <v>290</v>
      </c>
      <c r="B119" t="s">
        <v>18</v>
      </c>
      <c r="C119">
        <v>31.5</v>
      </c>
      <c r="D119">
        <v>35.5</v>
      </c>
      <c r="E119">
        <v>31.5</v>
      </c>
      <c r="F119">
        <v>34.65</v>
      </c>
      <c r="G119">
        <v>34.75</v>
      </c>
      <c r="H119">
        <v>33.65</v>
      </c>
      <c r="I119">
        <v>4239777</v>
      </c>
      <c r="J119">
        <v>143598654.25</v>
      </c>
      <c r="K119" s="13">
        <v>43994</v>
      </c>
      <c r="L119">
        <v>13262</v>
      </c>
      <c r="M119" t="s">
        <v>291</v>
      </c>
    </row>
    <row r="120" spans="1:13" x14ac:dyDescent="0.35">
      <c r="A120" t="s">
        <v>292</v>
      </c>
      <c r="B120" t="s">
        <v>18</v>
      </c>
      <c r="C120">
        <v>163.05000000000001</v>
      </c>
      <c r="D120">
        <v>180.15</v>
      </c>
      <c r="E120">
        <v>163.05000000000001</v>
      </c>
      <c r="F120">
        <v>177.45</v>
      </c>
      <c r="G120">
        <v>180.15</v>
      </c>
      <c r="H120">
        <v>171.6</v>
      </c>
      <c r="I120">
        <v>95109</v>
      </c>
      <c r="J120">
        <v>16144056.800000001</v>
      </c>
      <c r="K120" s="13">
        <v>43994</v>
      </c>
      <c r="L120">
        <v>2088</v>
      </c>
      <c r="M120" t="s">
        <v>293</v>
      </c>
    </row>
    <row r="121" spans="1:13" x14ac:dyDescent="0.35">
      <c r="A121" t="s">
        <v>294</v>
      </c>
      <c r="B121" t="s">
        <v>18</v>
      </c>
      <c r="C121">
        <v>66.2</v>
      </c>
      <c r="D121">
        <v>68.2</v>
      </c>
      <c r="E121">
        <v>65.400000000000006</v>
      </c>
      <c r="F121">
        <v>67.599999999999994</v>
      </c>
      <c r="G121">
        <v>66.05</v>
      </c>
      <c r="H121">
        <v>67.7</v>
      </c>
      <c r="I121">
        <v>24568</v>
      </c>
      <c r="J121">
        <v>1647883.75</v>
      </c>
      <c r="K121" s="13">
        <v>43994</v>
      </c>
      <c r="L121">
        <v>497</v>
      </c>
      <c r="M121" t="s">
        <v>295</v>
      </c>
    </row>
    <row r="122" spans="1:13" x14ac:dyDescent="0.35">
      <c r="A122" t="s">
        <v>296</v>
      </c>
      <c r="B122" t="s">
        <v>18</v>
      </c>
      <c r="C122">
        <v>168</v>
      </c>
      <c r="D122">
        <v>180</v>
      </c>
      <c r="E122">
        <v>163.30000000000001</v>
      </c>
      <c r="F122">
        <v>174.6</v>
      </c>
      <c r="G122">
        <v>178</v>
      </c>
      <c r="H122">
        <v>173.85</v>
      </c>
      <c r="I122">
        <v>20169</v>
      </c>
      <c r="J122">
        <v>3451257.75</v>
      </c>
      <c r="K122" s="13">
        <v>43994</v>
      </c>
      <c r="L122">
        <v>939</v>
      </c>
      <c r="M122" t="s">
        <v>297</v>
      </c>
    </row>
    <row r="123" spans="1:13" x14ac:dyDescent="0.35">
      <c r="A123" t="s">
        <v>298</v>
      </c>
      <c r="B123" t="s">
        <v>18</v>
      </c>
      <c r="C123">
        <v>105</v>
      </c>
      <c r="D123">
        <v>114.85</v>
      </c>
      <c r="E123">
        <v>103.05</v>
      </c>
      <c r="F123">
        <v>107.4</v>
      </c>
      <c r="G123">
        <v>108.3</v>
      </c>
      <c r="H123">
        <v>107.65</v>
      </c>
      <c r="I123">
        <v>5202</v>
      </c>
      <c r="J123">
        <v>558980.44999999995</v>
      </c>
      <c r="K123" s="13">
        <v>43994</v>
      </c>
      <c r="L123">
        <v>136</v>
      </c>
      <c r="M123" t="s">
        <v>299</v>
      </c>
    </row>
    <row r="124" spans="1:13" x14ac:dyDescent="0.35">
      <c r="A124" t="s">
        <v>300</v>
      </c>
      <c r="B124" t="s">
        <v>18</v>
      </c>
      <c r="C124">
        <v>17.850000000000001</v>
      </c>
      <c r="D124">
        <v>18.899999999999999</v>
      </c>
      <c r="E124">
        <v>17.850000000000001</v>
      </c>
      <c r="F124">
        <v>18.5</v>
      </c>
      <c r="G124">
        <v>18.850000000000001</v>
      </c>
      <c r="H124">
        <v>18.75</v>
      </c>
      <c r="I124">
        <v>10369</v>
      </c>
      <c r="J124">
        <v>187408</v>
      </c>
      <c r="K124" s="13">
        <v>43994</v>
      </c>
      <c r="L124">
        <v>86</v>
      </c>
      <c r="M124" t="s">
        <v>301</v>
      </c>
    </row>
    <row r="125" spans="1:13" x14ac:dyDescent="0.35">
      <c r="A125" t="s">
        <v>302</v>
      </c>
      <c r="B125" t="s">
        <v>18</v>
      </c>
      <c r="C125">
        <v>202.2</v>
      </c>
      <c r="D125">
        <v>222.55</v>
      </c>
      <c r="E125">
        <v>202</v>
      </c>
      <c r="F125">
        <v>219.75</v>
      </c>
      <c r="G125">
        <v>220.9</v>
      </c>
      <c r="H125">
        <v>214.65</v>
      </c>
      <c r="I125">
        <v>50691</v>
      </c>
      <c r="J125">
        <v>10843155.699999999</v>
      </c>
      <c r="K125" s="13">
        <v>43994</v>
      </c>
      <c r="L125">
        <v>2103</v>
      </c>
      <c r="M125" t="s">
        <v>303</v>
      </c>
    </row>
    <row r="126" spans="1:13" x14ac:dyDescent="0.35">
      <c r="A126" t="s">
        <v>304</v>
      </c>
      <c r="B126" t="s">
        <v>18</v>
      </c>
      <c r="C126">
        <v>40.85</v>
      </c>
      <c r="D126">
        <v>40.85</v>
      </c>
      <c r="E126">
        <v>38.9</v>
      </c>
      <c r="F126">
        <v>39.85</v>
      </c>
      <c r="G126">
        <v>40.5</v>
      </c>
      <c r="H126">
        <v>40.9</v>
      </c>
      <c r="I126">
        <v>64808</v>
      </c>
      <c r="J126">
        <v>2554929.25</v>
      </c>
      <c r="K126" s="13">
        <v>43994</v>
      </c>
      <c r="L126">
        <v>527</v>
      </c>
      <c r="M126" t="s">
        <v>305</v>
      </c>
    </row>
    <row r="127" spans="1:13" x14ac:dyDescent="0.35">
      <c r="A127" t="s">
        <v>306</v>
      </c>
      <c r="B127" t="s">
        <v>18</v>
      </c>
      <c r="C127">
        <v>45.6</v>
      </c>
      <c r="D127">
        <v>48.4</v>
      </c>
      <c r="E127">
        <v>45.6</v>
      </c>
      <c r="F127">
        <v>48.05</v>
      </c>
      <c r="G127">
        <v>48.3</v>
      </c>
      <c r="H127">
        <v>49.1</v>
      </c>
      <c r="I127">
        <v>51388</v>
      </c>
      <c r="J127">
        <v>2438417.1</v>
      </c>
      <c r="K127" s="13">
        <v>43994</v>
      </c>
      <c r="L127">
        <v>554</v>
      </c>
      <c r="M127" t="s">
        <v>307</v>
      </c>
    </row>
    <row r="128" spans="1:13" x14ac:dyDescent="0.35">
      <c r="A128" t="s">
        <v>308</v>
      </c>
      <c r="B128" t="s">
        <v>18</v>
      </c>
      <c r="C128">
        <v>5.15</v>
      </c>
      <c r="D128">
        <v>5.45</v>
      </c>
      <c r="E128">
        <v>5.0999999999999996</v>
      </c>
      <c r="F128">
        <v>5.25</v>
      </c>
      <c r="G128">
        <v>5.35</v>
      </c>
      <c r="H128">
        <v>5.65</v>
      </c>
      <c r="I128">
        <v>84728</v>
      </c>
      <c r="J128">
        <v>442788.55</v>
      </c>
      <c r="K128" s="13">
        <v>43994</v>
      </c>
      <c r="L128">
        <v>239</v>
      </c>
      <c r="M128" t="s">
        <v>309</v>
      </c>
    </row>
    <row r="129" spans="1:13" x14ac:dyDescent="0.35">
      <c r="A129" t="s">
        <v>310</v>
      </c>
      <c r="B129" t="s">
        <v>18</v>
      </c>
      <c r="C129">
        <v>49</v>
      </c>
      <c r="D129">
        <v>52.4</v>
      </c>
      <c r="E129">
        <v>49</v>
      </c>
      <c r="F129">
        <v>52.3</v>
      </c>
      <c r="G129">
        <v>52.3</v>
      </c>
      <c r="H129">
        <v>52.15</v>
      </c>
      <c r="I129">
        <v>816380</v>
      </c>
      <c r="J129">
        <v>42259200.350000001</v>
      </c>
      <c r="K129" s="13">
        <v>43994</v>
      </c>
      <c r="L129">
        <v>4423</v>
      </c>
      <c r="M129" t="s">
        <v>311</v>
      </c>
    </row>
    <row r="130" spans="1:13" x14ac:dyDescent="0.35">
      <c r="A130" t="s">
        <v>25</v>
      </c>
      <c r="B130" t="s">
        <v>18</v>
      </c>
      <c r="C130">
        <v>47.1</v>
      </c>
      <c r="D130">
        <v>52.75</v>
      </c>
      <c r="E130">
        <v>47.1</v>
      </c>
      <c r="F130">
        <v>52.35</v>
      </c>
      <c r="G130">
        <v>52.2</v>
      </c>
      <c r="H130">
        <v>51.1</v>
      </c>
      <c r="I130">
        <v>48100460</v>
      </c>
      <c r="J130">
        <v>2428056735.3000002</v>
      </c>
      <c r="K130" s="13">
        <v>43994</v>
      </c>
      <c r="L130">
        <v>92296</v>
      </c>
      <c r="M130" t="s">
        <v>312</v>
      </c>
    </row>
    <row r="131" spans="1:13" x14ac:dyDescent="0.35">
      <c r="A131" t="s">
        <v>313</v>
      </c>
      <c r="B131" t="s">
        <v>18</v>
      </c>
      <c r="C131">
        <v>51.7</v>
      </c>
      <c r="D131">
        <v>59</v>
      </c>
      <c r="E131">
        <v>51.25</v>
      </c>
      <c r="F131">
        <v>55.1</v>
      </c>
      <c r="G131">
        <v>55.35</v>
      </c>
      <c r="H131">
        <v>55.25</v>
      </c>
      <c r="I131">
        <v>12454</v>
      </c>
      <c r="J131">
        <v>658682.85</v>
      </c>
      <c r="K131" s="13">
        <v>43994</v>
      </c>
      <c r="L131">
        <v>446</v>
      </c>
      <c r="M131" t="s">
        <v>314</v>
      </c>
    </row>
    <row r="132" spans="1:13" x14ac:dyDescent="0.35">
      <c r="A132" t="s">
        <v>315</v>
      </c>
      <c r="B132" t="s">
        <v>18</v>
      </c>
      <c r="C132">
        <v>1580</v>
      </c>
      <c r="D132">
        <v>1642.95</v>
      </c>
      <c r="E132">
        <v>1577.5</v>
      </c>
      <c r="F132">
        <v>1637.35</v>
      </c>
      <c r="G132">
        <v>1633.85</v>
      </c>
      <c r="H132">
        <v>1610.6</v>
      </c>
      <c r="I132">
        <v>2391556</v>
      </c>
      <c r="J132">
        <v>3857776296.3499999</v>
      </c>
      <c r="K132" s="13">
        <v>43994</v>
      </c>
      <c r="L132">
        <v>77044</v>
      </c>
      <c r="M132" t="s">
        <v>316</v>
      </c>
    </row>
    <row r="133" spans="1:13" x14ac:dyDescent="0.35">
      <c r="A133" t="s">
        <v>317</v>
      </c>
      <c r="B133" t="s">
        <v>18</v>
      </c>
      <c r="C133">
        <v>137</v>
      </c>
      <c r="D133">
        <v>164.9</v>
      </c>
      <c r="E133">
        <v>137</v>
      </c>
      <c r="F133">
        <v>159.19999999999999</v>
      </c>
      <c r="G133">
        <v>159.5</v>
      </c>
      <c r="H133">
        <v>143.30000000000001</v>
      </c>
      <c r="I133">
        <v>895711</v>
      </c>
      <c r="J133">
        <v>141259350</v>
      </c>
      <c r="K133" s="13">
        <v>43994</v>
      </c>
      <c r="L133">
        <v>12388</v>
      </c>
      <c r="M133" t="s">
        <v>318</v>
      </c>
    </row>
    <row r="134" spans="1:13" x14ac:dyDescent="0.35">
      <c r="A134" t="s">
        <v>3405</v>
      </c>
      <c r="B134" t="s">
        <v>3381</v>
      </c>
      <c r="C134">
        <v>6</v>
      </c>
      <c r="D134">
        <v>6</v>
      </c>
      <c r="E134">
        <v>6</v>
      </c>
      <c r="F134">
        <v>6</v>
      </c>
      <c r="G134">
        <v>6</v>
      </c>
      <c r="H134">
        <v>6</v>
      </c>
      <c r="I134">
        <v>112000</v>
      </c>
      <c r="J134">
        <v>672000</v>
      </c>
      <c r="K134" s="13">
        <v>43994</v>
      </c>
      <c r="L134">
        <v>9</v>
      </c>
      <c r="M134" t="s">
        <v>3406</v>
      </c>
    </row>
    <row r="135" spans="1:13" x14ac:dyDescent="0.35">
      <c r="A135" t="s">
        <v>319</v>
      </c>
      <c r="B135" t="s">
        <v>18</v>
      </c>
      <c r="C135">
        <v>102</v>
      </c>
      <c r="D135">
        <v>106</v>
      </c>
      <c r="E135">
        <v>100.05</v>
      </c>
      <c r="F135">
        <v>102.7</v>
      </c>
      <c r="G135">
        <v>102.55</v>
      </c>
      <c r="H135">
        <v>107.95</v>
      </c>
      <c r="I135">
        <v>1530</v>
      </c>
      <c r="J135">
        <v>157467.45000000001</v>
      </c>
      <c r="K135" s="13">
        <v>43994</v>
      </c>
      <c r="L135">
        <v>107</v>
      </c>
      <c r="M135" t="s">
        <v>320</v>
      </c>
    </row>
    <row r="136" spans="1:13" x14ac:dyDescent="0.35">
      <c r="A136" t="s">
        <v>321</v>
      </c>
      <c r="B136" t="s">
        <v>18</v>
      </c>
      <c r="C136">
        <v>638</v>
      </c>
      <c r="D136">
        <v>713</v>
      </c>
      <c r="E136">
        <v>638</v>
      </c>
      <c r="F136">
        <v>693.9</v>
      </c>
      <c r="G136">
        <v>705</v>
      </c>
      <c r="H136">
        <v>682.95</v>
      </c>
      <c r="I136">
        <v>89921</v>
      </c>
      <c r="J136">
        <v>60745827.350000001</v>
      </c>
      <c r="K136" s="13">
        <v>43994</v>
      </c>
      <c r="L136">
        <v>4527</v>
      </c>
      <c r="M136" t="s">
        <v>322</v>
      </c>
    </row>
    <row r="137" spans="1:13" x14ac:dyDescent="0.35">
      <c r="A137" t="s">
        <v>323</v>
      </c>
      <c r="B137" t="s">
        <v>18</v>
      </c>
      <c r="C137">
        <v>95.1</v>
      </c>
      <c r="D137">
        <v>102</v>
      </c>
      <c r="E137">
        <v>95.1</v>
      </c>
      <c r="F137">
        <v>100.45</v>
      </c>
      <c r="G137">
        <v>102</v>
      </c>
      <c r="H137">
        <v>102.2</v>
      </c>
      <c r="I137">
        <v>149427</v>
      </c>
      <c r="J137">
        <v>14798893.5</v>
      </c>
      <c r="K137" s="13">
        <v>43994</v>
      </c>
      <c r="L137">
        <v>4129</v>
      </c>
      <c r="M137" t="s">
        <v>324</v>
      </c>
    </row>
    <row r="138" spans="1:13" x14ac:dyDescent="0.35">
      <c r="A138" t="s">
        <v>325</v>
      </c>
      <c r="B138" t="s">
        <v>18</v>
      </c>
      <c r="C138">
        <v>850</v>
      </c>
      <c r="D138">
        <v>884.9</v>
      </c>
      <c r="E138">
        <v>850</v>
      </c>
      <c r="F138">
        <v>872.1</v>
      </c>
      <c r="G138">
        <v>872.4</v>
      </c>
      <c r="H138">
        <v>878.1</v>
      </c>
      <c r="I138">
        <v>94073</v>
      </c>
      <c r="J138">
        <v>81812423.299999997</v>
      </c>
      <c r="K138" s="13">
        <v>43994</v>
      </c>
      <c r="L138">
        <v>7523</v>
      </c>
      <c r="M138" t="s">
        <v>326</v>
      </c>
    </row>
    <row r="139" spans="1:13" x14ac:dyDescent="0.35">
      <c r="A139" t="s">
        <v>327</v>
      </c>
      <c r="B139" t="s">
        <v>18</v>
      </c>
      <c r="C139">
        <v>73.099999999999994</v>
      </c>
      <c r="D139">
        <v>79.5</v>
      </c>
      <c r="E139">
        <v>73.099999999999994</v>
      </c>
      <c r="F139">
        <v>77.05</v>
      </c>
      <c r="G139">
        <v>77</v>
      </c>
      <c r="H139">
        <v>77.05</v>
      </c>
      <c r="I139">
        <v>351319</v>
      </c>
      <c r="J139">
        <v>27125163.949999999</v>
      </c>
      <c r="K139" s="13">
        <v>43994</v>
      </c>
      <c r="L139">
        <v>2728</v>
      </c>
      <c r="M139" t="s">
        <v>328</v>
      </c>
    </row>
    <row r="140" spans="1:13" x14ac:dyDescent="0.35">
      <c r="A140" t="s">
        <v>329</v>
      </c>
      <c r="B140" t="s">
        <v>18</v>
      </c>
      <c r="C140">
        <v>3180</v>
      </c>
      <c r="D140">
        <v>3260</v>
      </c>
      <c r="E140">
        <v>3164.85</v>
      </c>
      <c r="F140">
        <v>3220.4</v>
      </c>
      <c r="G140">
        <v>3209.95</v>
      </c>
      <c r="H140">
        <v>3327.05</v>
      </c>
      <c r="I140">
        <v>57895</v>
      </c>
      <c r="J140">
        <v>186693746.05000001</v>
      </c>
      <c r="K140" s="13">
        <v>43994</v>
      </c>
      <c r="L140">
        <v>8342</v>
      </c>
      <c r="M140" t="s">
        <v>330</v>
      </c>
    </row>
    <row r="141" spans="1:13" x14ac:dyDescent="0.35">
      <c r="A141" t="s">
        <v>331</v>
      </c>
      <c r="B141" t="s">
        <v>18</v>
      </c>
      <c r="C141">
        <v>30.65</v>
      </c>
      <c r="D141">
        <v>33.200000000000003</v>
      </c>
      <c r="E141">
        <v>30.65</v>
      </c>
      <c r="F141">
        <v>33.049999999999997</v>
      </c>
      <c r="G141">
        <v>33.15</v>
      </c>
      <c r="H141">
        <v>32.950000000000003</v>
      </c>
      <c r="I141">
        <v>38729</v>
      </c>
      <c r="J141">
        <v>1250185.95</v>
      </c>
      <c r="K141" s="13">
        <v>43994</v>
      </c>
      <c r="L141">
        <v>263</v>
      </c>
      <c r="M141" t="s">
        <v>332</v>
      </c>
    </row>
    <row r="142" spans="1:13" x14ac:dyDescent="0.35">
      <c r="A142" t="s">
        <v>333</v>
      </c>
      <c r="B142" t="s">
        <v>18</v>
      </c>
      <c r="C142">
        <v>495</v>
      </c>
      <c r="D142">
        <v>505.65</v>
      </c>
      <c r="E142">
        <v>492.15</v>
      </c>
      <c r="F142">
        <v>503.7</v>
      </c>
      <c r="G142">
        <v>504</v>
      </c>
      <c r="H142">
        <v>510.5</v>
      </c>
      <c r="I142">
        <v>4657</v>
      </c>
      <c r="J142">
        <v>2321381.0499999998</v>
      </c>
      <c r="K142" s="13">
        <v>43994</v>
      </c>
      <c r="L142">
        <v>397</v>
      </c>
      <c r="M142" t="s">
        <v>334</v>
      </c>
    </row>
    <row r="143" spans="1:13" x14ac:dyDescent="0.35">
      <c r="A143" t="s">
        <v>335</v>
      </c>
      <c r="B143" t="s">
        <v>18</v>
      </c>
      <c r="C143">
        <v>7.45</v>
      </c>
      <c r="D143">
        <v>7.45</v>
      </c>
      <c r="E143">
        <v>7.1</v>
      </c>
      <c r="F143">
        <v>7.3</v>
      </c>
      <c r="G143">
        <v>7.3</v>
      </c>
      <c r="H143">
        <v>7.45</v>
      </c>
      <c r="I143">
        <v>20693</v>
      </c>
      <c r="J143">
        <v>148480.70000000001</v>
      </c>
      <c r="K143" s="13">
        <v>43994</v>
      </c>
      <c r="L143">
        <v>138</v>
      </c>
      <c r="M143" t="s">
        <v>336</v>
      </c>
    </row>
    <row r="144" spans="1:13" x14ac:dyDescent="0.35">
      <c r="A144" t="s">
        <v>3407</v>
      </c>
      <c r="B144" t="s">
        <v>3391</v>
      </c>
      <c r="C144">
        <v>34.1</v>
      </c>
      <c r="D144">
        <v>34.1</v>
      </c>
      <c r="E144">
        <v>34.1</v>
      </c>
      <c r="F144">
        <v>34.1</v>
      </c>
      <c r="G144">
        <v>34.1</v>
      </c>
      <c r="H144">
        <v>35.85</v>
      </c>
      <c r="I144">
        <v>11814</v>
      </c>
      <c r="J144">
        <v>402857.4</v>
      </c>
      <c r="K144" s="13">
        <v>43994</v>
      </c>
      <c r="L144">
        <v>94</v>
      </c>
      <c r="M144" t="s">
        <v>3408</v>
      </c>
    </row>
    <row r="145" spans="1:13" x14ac:dyDescent="0.35">
      <c r="A145" t="s">
        <v>337</v>
      </c>
      <c r="B145" t="s">
        <v>18</v>
      </c>
      <c r="C145">
        <v>4430.05</v>
      </c>
      <c r="D145">
        <v>4578.8500000000004</v>
      </c>
      <c r="E145">
        <v>4401</v>
      </c>
      <c r="F145">
        <v>4519.6499999999996</v>
      </c>
      <c r="G145">
        <v>4515</v>
      </c>
      <c r="H145">
        <v>4513.8</v>
      </c>
      <c r="I145">
        <v>36825</v>
      </c>
      <c r="J145">
        <v>164886873.25</v>
      </c>
      <c r="K145" s="13">
        <v>43994</v>
      </c>
      <c r="L145">
        <v>4524</v>
      </c>
      <c r="M145" t="s">
        <v>338</v>
      </c>
    </row>
    <row r="146" spans="1:13" x14ac:dyDescent="0.35">
      <c r="A146" t="s">
        <v>339</v>
      </c>
      <c r="B146" t="s">
        <v>18</v>
      </c>
      <c r="C146">
        <v>154.9</v>
      </c>
      <c r="D146">
        <v>157.44999999999999</v>
      </c>
      <c r="E146">
        <v>151</v>
      </c>
      <c r="F146">
        <v>152.55000000000001</v>
      </c>
      <c r="G146">
        <v>152.75</v>
      </c>
      <c r="H146">
        <v>159.19999999999999</v>
      </c>
      <c r="I146">
        <v>84308</v>
      </c>
      <c r="J146">
        <v>12894220.300000001</v>
      </c>
      <c r="K146" s="13">
        <v>43994</v>
      </c>
      <c r="L146">
        <v>2509</v>
      </c>
      <c r="M146" t="s">
        <v>340</v>
      </c>
    </row>
    <row r="147" spans="1:13" x14ac:dyDescent="0.35">
      <c r="A147" t="s">
        <v>341</v>
      </c>
      <c r="B147" t="s">
        <v>18</v>
      </c>
      <c r="C147">
        <v>440.3</v>
      </c>
      <c r="D147">
        <v>484.7</v>
      </c>
      <c r="E147">
        <v>440.3</v>
      </c>
      <c r="F147">
        <v>474.3</v>
      </c>
      <c r="G147">
        <v>483.9</v>
      </c>
      <c r="H147">
        <v>463.45</v>
      </c>
      <c r="I147">
        <v>746862</v>
      </c>
      <c r="J147">
        <v>339017003.10000002</v>
      </c>
      <c r="K147" s="13">
        <v>43994</v>
      </c>
      <c r="L147">
        <v>22832</v>
      </c>
      <c r="M147" t="s">
        <v>342</v>
      </c>
    </row>
    <row r="148" spans="1:13" x14ac:dyDescent="0.35">
      <c r="A148" t="s">
        <v>343</v>
      </c>
      <c r="B148" t="s">
        <v>18</v>
      </c>
      <c r="C148">
        <v>54</v>
      </c>
      <c r="D148">
        <v>57.85</v>
      </c>
      <c r="E148">
        <v>48.2</v>
      </c>
      <c r="F148">
        <v>55.9</v>
      </c>
      <c r="G148">
        <v>56.35</v>
      </c>
      <c r="H148">
        <v>54.45</v>
      </c>
      <c r="I148">
        <v>31101</v>
      </c>
      <c r="J148">
        <v>1675600.65</v>
      </c>
      <c r="K148" s="13">
        <v>43994</v>
      </c>
      <c r="L148">
        <v>525</v>
      </c>
      <c r="M148" t="s">
        <v>344</v>
      </c>
    </row>
    <row r="149" spans="1:13" x14ac:dyDescent="0.35">
      <c r="A149" t="s">
        <v>345</v>
      </c>
      <c r="B149" t="s">
        <v>18</v>
      </c>
      <c r="C149">
        <v>765</v>
      </c>
      <c r="D149">
        <v>784.5</v>
      </c>
      <c r="E149">
        <v>763.7</v>
      </c>
      <c r="F149">
        <v>771.7</v>
      </c>
      <c r="G149">
        <v>773.5</v>
      </c>
      <c r="H149">
        <v>785.85</v>
      </c>
      <c r="I149">
        <v>4466352</v>
      </c>
      <c r="J149">
        <v>3451934673.8499999</v>
      </c>
      <c r="K149" s="13">
        <v>43994</v>
      </c>
      <c r="L149">
        <v>84517</v>
      </c>
      <c r="M149" t="s">
        <v>346</v>
      </c>
    </row>
    <row r="150" spans="1:13" x14ac:dyDescent="0.35">
      <c r="A150" t="s">
        <v>347</v>
      </c>
      <c r="B150" t="s">
        <v>18</v>
      </c>
      <c r="C150">
        <v>25.1</v>
      </c>
      <c r="D150">
        <v>27</v>
      </c>
      <c r="E150">
        <v>25.1</v>
      </c>
      <c r="F150">
        <v>26.55</v>
      </c>
      <c r="G150">
        <v>26.6</v>
      </c>
      <c r="H150">
        <v>27.75</v>
      </c>
      <c r="I150">
        <v>1282</v>
      </c>
      <c r="J150">
        <v>33234.550000000003</v>
      </c>
      <c r="K150" s="13">
        <v>43994</v>
      </c>
      <c r="L150">
        <v>23</v>
      </c>
      <c r="M150" t="s">
        <v>348</v>
      </c>
    </row>
    <row r="151" spans="1:13" x14ac:dyDescent="0.35">
      <c r="A151" t="s">
        <v>349</v>
      </c>
      <c r="B151" t="s">
        <v>18</v>
      </c>
      <c r="C151">
        <v>470.6</v>
      </c>
      <c r="D151">
        <v>513.75</v>
      </c>
      <c r="E151">
        <v>470.6</v>
      </c>
      <c r="F151">
        <v>508.45</v>
      </c>
      <c r="G151">
        <v>508</v>
      </c>
      <c r="H151">
        <v>493.55</v>
      </c>
      <c r="I151">
        <v>10954</v>
      </c>
      <c r="J151">
        <v>5360387.3499999996</v>
      </c>
      <c r="K151" s="13">
        <v>43994</v>
      </c>
      <c r="L151">
        <v>941</v>
      </c>
      <c r="M151" t="s">
        <v>350</v>
      </c>
    </row>
    <row r="152" spans="1:13" x14ac:dyDescent="0.35">
      <c r="A152" t="s">
        <v>3409</v>
      </c>
      <c r="B152" t="s">
        <v>3391</v>
      </c>
      <c r="C152">
        <v>20.8</v>
      </c>
      <c r="D152">
        <v>20.8</v>
      </c>
      <c r="E152">
        <v>19.899999999999999</v>
      </c>
      <c r="F152">
        <v>19.899999999999999</v>
      </c>
      <c r="G152">
        <v>19.899999999999999</v>
      </c>
      <c r="H152">
        <v>20.9</v>
      </c>
      <c r="I152">
        <v>12646</v>
      </c>
      <c r="J152">
        <v>253024.65</v>
      </c>
      <c r="K152" s="13">
        <v>43994</v>
      </c>
      <c r="L152">
        <v>121</v>
      </c>
      <c r="M152" t="s">
        <v>3410</v>
      </c>
    </row>
    <row r="153" spans="1:13" x14ac:dyDescent="0.35">
      <c r="A153" t="s">
        <v>351</v>
      </c>
      <c r="B153" t="s">
        <v>18</v>
      </c>
      <c r="C153">
        <v>17.3</v>
      </c>
      <c r="D153">
        <v>18.3</v>
      </c>
      <c r="E153">
        <v>17.149999999999999</v>
      </c>
      <c r="F153">
        <v>17.3</v>
      </c>
      <c r="G153">
        <v>17.649999999999999</v>
      </c>
      <c r="H153">
        <v>18.05</v>
      </c>
      <c r="I153">
        <v>10602</v>
      </c>
      <c r="J153">
        <v>183806.15</v>
      </c>
      <c r="K153" s="13">
        <v>43994</v>
      </c>
      <c r="L153">
        <v>96</v>
      </c>
      <c r="M153" t="s">
        <v>352</v>
      </c>
    </row>
    <row r="154" spans="1:13" x14ac:dyDescent="0.35">
      <c r="A154" t="s">
        <v>353</v>
      </c>
      <c r="B154" t="s">
        <v>18</v>
      </c>
      <c r="C154">
        <v>187.55</v>
      </c>
      <c r="D154">
        <v>204.8</v>
      </c>
      <c r="E154">
        <v>187.55</v>
      </c>
      <c r="F154">
        <v>201.75</v>
      </c>
      <c r="G154">
        <v>201</v>
      </c>
      <c r="H154">
        <v>197.4</v>
      </c>
      <c r="I154">
        <v>119587</v>
      </c>
      <c r="J154">
        <v>23370953.800000001</v>
      </c>
      <c r="K154" s="13">
        <v>43994</v>
      </c>
      <c r="L154">
        <v>2246</v>
      </c>
      <c r="M154" t="s">
        <v>354</v>
      </c>
    </row>
    <row r="155" spans="1:13" x14ac:dyDescent="0.35">
      <c r="A155" t="s">
        <v>355</v>
      </c>
      <c r="B155" t="s">
        <v>18</v>
      </c>
      <c r="C155">
        <v>423.2</v>
      </c>
      <c r="D155">
        <v>479.35</v>
      </c>
      <c r="E155">
        <v>423.2</v>
      </c>
      <c r="F155">
        <v>473.55</v>
      </c>
      <c r="G155">
        <v>474.1</v>
      </c>
      <c r="H155">
        <v>452.3</v>
      </c>
      <c r="I155">
        <v>1011874</v>
      </c>
      <c r="J155">
        <v>462375041.69999999</v>
      </c>
      <c r="K155" s="13">
        <v>43994</v>
      </c>
      <c r="L155">
        <v>25862</v>
      </c>
      <c r="M155" t="s">
        <v>356</v>
      </c>
    </row>
    <row r="156" spans="1:13" x14ac:dyDescent="0.35">
      <c r="A156" t="s">
        <v>3411</v>
      </c>
      <c r="B156" t="s">
        <v>3381</v>
      </c>
      <c r="C156">
        <v>39.200000000000003</v>
      </c>
      <c r="D156">
        <v>39.200000000000003</v>
      </c>
      <c r="E156">
        <v>39.200000000000003</v>
      </c>
      <c r="F156">
        <v>39.200000000000003</v>
      </c>
      <c r="G156">
        <v>39.200000000000003</v>
      </c>
      <c r="H156">
        <v>37.35</v>
      </c>
      <c r="I156">
        <v>1200</v>
      </c>
      <c r="J156">
        <v>47040</v>
      </c>
      <c r="K156" s="13">
        <v>43994</v>
      </c>
      <c r="L156">
        <v>1</v>
      </c>
      <c r="M156" t="s">
        <v>3412</v>
      </c>
    </row>
    <row r="157" spans="1:13" x14ac:dyDescent="0.35">
      <c r="A157" t="s">
        <v>357</v>
      </c>
      <c r="B157" t="s">
        <v>18</v>
      </c>
      <c r="C157">
        <v>35.5</v>
      </c>
      <c r="D157">
        <v>37.9</v>
      </c>
      <c r="E157">
        <v>35</v>
      </c>
      <c r="F157">
        <v>37.4</v>
      </c>
      <c r="G157">
        <v>37.450000000000003</v>
      </c>
      <c r="H157">
        <v>36.549999999999997</v>
      </c>
      <c r="I157">
        <v>163464</v>
      </c>
      <c r="J157">
        <v>5935752.7999999998</v>
      </c>
      <c r="K157" s="13">
        <v>43994</v>
      </c>
      <c r="L157">
        <v>1054</v>
      </c>
      <c r="M157" t="s">
        <v>358</v>
      </c>
    </row>
    <row r="158" spans="1:13" x14ac:dyDescent="0.35">
      <c r="A158" t="s">
        <v>359</v>
      </c>
      <c r="B158" t="s">
        <v>18</v>
      </c>
      <c r="C158">
        <v>390</v>
      </c>
      <c r="D158">
        <v>412.5</v>
      </c>
      <c r="E158">
        <v>389.15</v>
      </c>
      <c r="F158">
        <v>408</v>
      </c>
      <c r="G158">
        <v>406.6</v>
      </c>
      <c r="H158">
        <v>413.45</v>
      </c>
      <c r="I158">
        <v>47814513</v>
      </c>
      <c r="J158">
        <v>19188023908.200001</v>
      </c>
      <c r="K158" s="13">
        <v>43994</v>
      </c>
      <c r="L158">
        <v>425792</v>
      </c>
      <c r="M158" t="s">
        <v>360</v>
      </c>
    </row>
    <row r="159" spans="1:13" x14ac:dyDescent="0.35">
      <c r="A159" t="s">
        <v>361</v>
      </c>
      <c r="B159" t="s">
        <v>18</v>
      </c>
      <c r="C159">
        <v>32.5</v>
      </c>
      <c r="D159">
        <v>32.9</v>
      </c>
      <c r="E159">
        <v>31.7</v>
      </c>
      <c r="F159">
        <v>31.8</v>
      </c>
      <c r="G159">
        <v>32.4</v>
      </c>
      <c r="H159">
        <v>33.35</v>
      </c>
      <c r="I159">
        <v>98246</v>
      </c>
      <c r="J159">
        <v>3123151.2</v>
      </c>
      <c r="K159" s="13">
        <v>43994</v>
      </c>
      <c r="L159">
        <v>451</v>
      </c>
      <c r="M159" t="s">
        <v>362</v>
      </c>
    </row>
    <row r="160" spans="1:13" x14ac:dyDescent="0.35">
      <c r="A160" t="s">
        <v>363</v>
      </c>
      <c r="B160" t="s">
        <v>18</v>
      </c>
      <c r="C160">
        <v>4298</v>
      </c>
      <c r="D160">
        <v>4504.6000000000004</v>
      </c>
      <c r="E160">
        <v>4116.5</v>
      </c>
      <c r="F160">
        <v>4138.6000000000004</v>
      </c>
      <c r="G160">
        <v>4153.6000000000004</v>
      </c>
      <c r="H160">
        <v>4132.7</v>
      </c>
      <c r="I160">
        <v>1040</v>
      </c>
      <c r="J160">
        <v>4309381.25</v>
      </c>
      <c r="K160" s="13">
        <v>43994</v>
      </c>
      <c r="L160">
        <v>226</v>
      </c>
      <c r="M160" t="s">
        <v>364</v>
      </c>
    </row>
    <row r="161" spans="1:13" x14ac:dyDescent="0.35">
      <c r="A161" t="s">
        <v>365</v>
      </c>
      <c r="B161" t="s">
        <v>18</v>
      </c>
      <c r="C161">
        <v>1000.1</v>
      </c>
      <c r="D161">
        <v>1040.99</v>
      </c>
      <c r="E161">
        <v>1000.1</v>
      </c>
      <c r="F161">
        <v>1034.8900000000001</v>
      </c>
      <c r="G161">
        <v>1034.8900000000001</v>
      </c>
      <c r="H161">
        <v>1017.47</v>
      </c>
      <c r="I161">
        <v>169</v>
      </c>
      <c r="J161">
        <v>174149.08</v>
      </c>
      <c r="K161" s="13">
        <v>43994</v>
      </c>
      <c r="L161">
        <v>30</v>
      </c>
      <c r="M161" t="s">
        <v>366</v>
      </c>
    </row>
    <row r="162" spans="1:13" x14ac:dyDescent="0.35">
      <c r="A162" t="s">
        <v>367</v>
      </c>
      <c r="B162" t="s">
        <v>18</v>
      </c>
      <c r="C162">
        <v>23</v>
      </c>
      <c r="D162">
        <v>25.1</v>
      </c>
      <c r="E162">
        <v>20.7</v>
      </c>
      <c r="F162">
        <v>24.35</v>
      </c>
      <c r="G162">
        <v>24.5</v>
      </c>
      <c r="H162">
        <v>22.95</v>
      </c>
      <c r="I162">
        <v>136440</v>
      </c>
      <c r="J162">
        <v>3081151.3</v>
      </c>
      <c r="K162" s="13">
        <v>43994</v>
      </c>
      <c r="L162">
        <v>1051</v>
      </c>
      <c r="M162" t="s">
        <v>368</v>
      </c>
    </row>
    <row r="163" spans="1:13" x14ac:dyDescent="0.35">
      <c r="A163" t="s">
        <v>369</v>
      </c>
      <c r="B163" t="s">
        <v>18</v>
      </c>
      <c r="C163">
        <v>2.5</v>
      </c>
      <c r="D163">
        <v>2.5</v>
      </c>
      <c r="E163">
        <v>2.2999999999999998</v>
      </c>
      <c r="F163">
        <v>2.5</v>
      </c>
      <c r="G163">
        <v>2.5</v>
      </c>
      <c r="H163">
        <v>2.4</v>
      </c>
      <c r="I163">
        <v>511129</v>
      </c>
      <c r="J163">
        <v>1250301.7</v>
      </c>
      <c r="K163" s="13">
        <v>43994</v>
      </c>
      <c r="L163">
        <v>464</v>
      </c>
      <c r="M163" t="s">
        <v>370</v>
      </c>
    </row>
    <row r="164" spans="1:13" x14ac:dyDescent="0.35">
      <c r="A164" t="s">
        <v>371</v>
      </c>
      <c r="B164" t="s">
        <v>18</v>
      </c>
      <c r="C164">
        <v>2610.25</v>
      </c>
      <c r="D164">
        <v>2799.05</v>
      </c>
      <c r="E164">
        <v>2610.25</v>
      </c>
      <c r="F164">
        <v>2782.15</v>
      </c>
      <c r="G164">
        <v>2797</v>
      </c>
      <c r="H164">
        <v>2718.55</v>
      </c>
      <c r="I164">
        <v>895713</v>
      </c>
      <c r="J164">
        <v>2437368268.3000002</v>
      </c>
      <c r="K164" s="13">
        <v>43994</v>
      </c>
      <c r="L164">
        <v>43389</v>
      </c>
      <c r="M164" t="s">
        <v>372</v>
      </c>
    </row>
    <row r="165" spans="1:13" x14ac:dyDescent="0.35">
      <c r="A165" t="s">
        <v>373</v>
      </c>
      <c r="B165" t="s">
        <v>18</v>
      </c>
      <c r="C165">
        <v>145</v>
      </c>
      <c r="D165">
        <v>148.19999999999999</v>
      </c>
      <c r="E165">
        <v>141.30000000000001</v>
      </c>
      <c r="F165">
        <v>144.19999999999999</v>
      </c>
      <c r="G165">
        <v>144.35</v>
      </c>
      <c r="H165">
        <v>148.80000000000001</v>
      </c>
      <c r="I165">
        <v>1061489</v>
      </c>
      <c r="J165">
        <v>152754705.5</v>
      </c>
      <c r="K165" s="13">
        <v>43994</v>
      </c>
      <c r="L165">
        <v>40867</v>
      </c>
      <c r="M165" t="s">
        <v>374</v>
      </c>
    </row>
    <row r="166" spans="1:13" x14ac:dyDescent="0.35">
      <c r="A166" t="s">
        <v>375</v>
      </c>
      <c r="B166" t="s">
        <v>18</v>
      </c>
      <c r="C166">
        <v>390</v>
      </c>
      <c r="D166">
        <v>397.1</v>
      </c>
      <c r="E166">
        <v>383.15</v>
      </c>
      <c r="F166">
        <v>393.35</v>
      </c>
      <c r="G166">
        <v>392.4</v>
      </c>
      <c r="H166">
        <v>403.95</v>
      </c>
      <c r="I166">
        <v>160471</v>
      </c>
      <c r="J166">
        <v>63106090.299999997</v>
      </c>
      <c r="K166" s="13">
        <v>43994</v>
      </c>
      <c r="L166">
        <v>5865</v>
      </c>
      <c r="M166" t="s">
        <v>376</v>
      </c>
    </row>
    <row r="167" spans="1:13" x14ac:dyDescent="0.35">
      <c r="A167" t="s">
        <v>377</v>
      </c>
      <c r="B167" t="s">
        <v>18</v>
      </c>
      <c r="C167">
        <v>4900</v>
      </c>
      <c r="D167">
        <v>5339</v>
      </c>
      <c r="E167">
        <v>4900</v>
      </c>
      <c r="F167">
        <v>5285.95</v>
      </c>
      <c r="G167">
        <v>5265</v>
      </c>
      <c r="H167">
        <v>5158</v>
      </c>
      <c r="I167">
        <v>1655263</v>
      </c>
      <c r="J167">
        <v>8462915772.1499996</v>
      </c>
      <c r="K167" s="13">
        <v>43994</v>
      </c>
      <c r="L167">
        <v>134219</v>
      </c>
      <c r="M167" t="s">
        <v>378</v>
      </c>
    </row>
    <row r="168" spans="1:13" x14ac:dyDescent="0.35">
      <c r="A168" t="s">
        <v>379</v>
      </c>
      <c r="B168" t="s">
        <v>18</v>
      </c>
      <c r="C168">
        <v>5.9</v>
      </c>
      <c r="D168">
        <v>6.45</v>
      </c>
      <c r="E168">
        <v>5.85</v>
      </c>
      <c r="F168">
        <v>6.45</v>
      </c>
      <c r="G168">
        <v>6.45</v>
      </c>
      <c r="H168">
        <v>6.15</v>
      </c>
      <c r="I168">
        <v>14749511</v>
      </c>
      <c r="J168">
        <v>89620839.400000006</v>
      </c>
      <c r="K168" s="13">
        <v>43994</v>
      </c>
      <c r="L168">
        <v>11740</v>
      </c>
      <c r="M168" t="s">
        <v>380</v>
      </c>
    </row>
    <row r="169" spans="1:13" x14ac:dyDescent="0.35">
      <c r="A169" t="s">
        <v>381</v>
      </c>
      <c r="B169" t="s">
        <v>18</v>
      </c>
      <c r="C169">
        <v>2251</v>
      </c>
      <c r="D169">
        <v>2379.5</v>
      </c>
      <c r="E169">
        <v>2215</v>
      </c>
      <c r="F169">
        <v>2349.4</v>
      </c>
      <c r="G169">
        <v>2354.9</v>
      </c>
      <c r="H169">
        <v>2416.65</v>
      </c>
      <c r="I169">
        <v>81026</v>
      </c>
      <c r="J169">
        <v>188389255.30000001</v>
      </c>
      <c r="K169" s="13">
        <v>43994</v>
      </c>
      <c r="L169">
        <v>15153</v>
      </c>
      <c r="M169" t="s">
        <v>382</v>
      </c>
    </row>
    <row r="170" spans="1:13" x14ac:dyDescent="0.35">
      <c r="A170" t="s">
        <v>28</v>
      </c>
      <c r="B170" t="s">
        <v>18</v>
      </c>
      <c r="C170">
        <v>2200</v>
      </c>
      <c r="D170">
        <v>2470</v>
      </c>
      <c r="E170">
        <v>2199</v>
      </c>
      <c r="F170">
        <v>2450.15</v>
      </c>
      <c r="G170">
        <v>2448</v>
      </c>
      <c r="H170">
        <v>2338.9</v>
      </c>
      <c r="I170">
        <v>16802757</v>
      </c>
      <c r="J170">
        <v>39610401473.150002</v>
      </c>
      <c r="K170" s="13">
        <v>43994</v>
      </c>
      <c r="L170">
        <v>521594</v>
      </c>
      <c r="M170" t="s">
        <v>383</v>
      </c>
    </row>
    <row r="171" spans="1:13" x14ac:dyDescent="0.35">
      <c r="A171" t="s">
        <v>384</v>
      </c>
      <c r="B171" t="s">
        <v>18</v>
      </c>
      <c r="C171">
        <v>63.55</v>
      </c>
      <c r="D171">
        <v>65.849999999999994</v>
      </c>
      <c r="E171">
        <v>63.1</v>
      </c>
      <c r="F171">
        <v>65.099999999999994</v>
      </c>
      <c r="G171">
        <v>64.55</v>
      </c>
      <c r="H171">
        <v>65.55</v>
      </c>
      <c r="I171">
        <v>108255</v>
      </c>
      <c r="J171">
        <v>6944860.0499999998</v>
      </c>
      <c r="K171" s="13">
        <v>43994</v>
      </c>
      <c r="L171">
        <v>711</v>
      </c>
      <c r="M171" t="s">
        <v>385</v>
      </c>
    </row>
    <row r="172" spans="1:13" x14ac:dyDescent="0.35">
      <c r="A172" t="s">
        <v>386</v>
      </c>
      <c r="B172" t="s">
        <v>18</v>
      </c>
      <c r="C172">
        <v>390</v>
      </c>
      <c r="D172">
        <v>402</v>
      </c>
      <c r="E172">
        <v>389.9</v>
      </c>
      <c r="F172">
        <v>398.5</v>
      </c>
      <c r="G172">
        <v>398.1</v>
      </c>
      <c r="H172">
        <v>402.95</v>
      </c>
      <c r="I172">
        <v>73288</v>
      </c>
      <c r="J172">
        <v>29035975.399999999</v>
      </c>
      <c r="K172" s="13">
        <v>43994</v>
      </c>
      <c r="L172">
        <v>3474</v>
      </c>
      <c r="M172" t="s">
        <v>387</v>
      </c>
    </row>
    <row r="173" spans="1:13" x14ac:dyDescent="0.35">
      <c r="A173" t="s">
        <v>388</v>
      </c>
      <c r="B173" t="s">
        <v>18</v>
      </c>
      <c r="C173">
        <v>123.9</v>
      </c>
      <c r="D173">
        <v>123.95</v>
      </c>
      <c r="E173">
        <v>119.2</v>
      </c>
      <c r="F173">
        <v>119.4</v>
      </c>
      <c r="G173">
        <v>119.2</v>
      </c>
      <c r="H173">
        <v>125.45</v>
      </c>
      <c r="I173">
        <v>623</v>
      </c>
      <c r="J173">
        <v>74945.149999999994</v>
      </c>
      <c r="K173" s="13">
        <v>43994</v>
      </c>
      <c r="L173">
        <v>65</v>
      </c>
      <c r="M173" t="s">
        <v>389</v>
      </c>
    </row>
    <row r="174" spans="1:13" x14ac:dyDescent="0.35">
      <c r="A174" t="s">
        <v>390</v>
      </c>
      <c r="B174" t="s">
        <v>18</v>
      </c>
      <c r="C174">
        <v>12.8</v>
      </c>
      <c r="D174">
        <v>13.35</v>
      </c>
      <c r="E174">
        <v>12.25</v>
      </c>
      <c r="F174">
        <v>13.2</v>
      </c>
      <c r="G174">
        <v>13.05</v>
      </c>
      <c r="H174">
        <v>13.6</v>
      </c>
      <c r="I174">
        <v>13393</v>
      </c>
      <c r="J174">
        <v>170580.2</v>
      </c>
      <c r="K174" s="13">
        <v>43994</v>
      </c>
      <c r="L174">
        <v>129</v>
      </c>
      <c r="M174" t="s">
        <v>391</v>
      </c>
    </row>
    <row r="175" spans="1:13" x14ac:dyDescent="0.35">
      <c r="A175" t="s">
        <v>392</v>
      </c>
      <c r="B175" t="s">
        <v>18</v>
      </c>
      <c r="C175">
        <v>1082</v>
      </c>
      <c r="D175">
        <v>1154.5</v>
      </c>
      <c r="E175">
        <v>1082</v>
      </c>
      <c r="F175">
        <v>1149</v>
      </c>
      <c r="G175">
        <v>1149.6500000000001</v>
      </c>
      <c r="H175">
        <v>1134.5999999999999</v>
      </c>
      <c r="I175">
        <v>752862</v>
      </c>
      <c r="J175">
        <v>852848868.04999995</v>
      </c>
      <c r="K175" s="13">
        <v>43994</v>
      </c>
      <c r="L175">
        <v>28778</v>
      </c>
      <c r="M175" t="s">
        <v>393</v>
      </c>
    </row>
    <row r="176" spans="1:13" x14ac:dyDescent="0.35">
      <c r="A176" t="s">
        <v>394</v>
      </c>
      <c r="B176" t="s">
        <v>18</v>
      </c>
      <c r="C176">
        <v>0.8</v>
      </c>
      <c r="D176">
        <v>0.85</v>
      </c>
      <c r="E176">
        <v>0.75</v>
      </c>
      <c r="F176">
        <v>0.85</v>
      </c>
      <c r="G176">
        <v>0.85</v>
      </c>
      <c r="H176">
        <v>0.8</v>
      </c>
      <c r="I176">
        <v>11039674</v>
      </c>
      <c r="J176">
        <v>8835402.9000000004</v>
      </c>
      <c r="K176" s="13">
        <v>43994</v>
      </c>
      <c r="L176">
        <v>1489</v>
      </c>
      <c r="M176" t="s">
        <v>395</v>
      </c>
    </row>
    <row r="177" spans="1:13" x14ac:dyDescent="0.35">
      <c r="A177" t="s">
        <v>396</v>
      </c>
      <c r="B177" t="s">
        <v>18</v>
      </c>
      <c r="C177">
        <v>101.85</v>
      </c>
      <c r="D177">
        <v>104.3</v>
      </c>
      <c r="E177">
        <v>100.1</v>
      </c>
      <c r="F177">
        <v>103.35</v>
      </c>
      <c r="G177">
        <v>102.8</v>
      </c>
      <c r="H177">
        <v>104.9</v>
      </c>
      <c r="I177">
        <v>139149</v>
      </c>
      <c r="J177">
        <v>14284579.699999999</v>
      </c>
      <c r="K177" s="13">
        <v>43994</v>
      </c>
      <c r="L177">
        <v>2264</v>
      </c>
      <c r="M177" t="s">
        <v>397</v>
      </c>
    </row>
    <row r="178" spans="1:13" x14ac:dyDescent="0.35">
      <c r="A178" t="s">
        <v>398</v>
      </c>
      <c r="B178" t="s">
        <v>18</v>
      </c>
      <c r="C178">
        <v>38.049999999999997</v>
      </c>
      <c r="D178">
        <v>41.9</v>
      </c>
      <c r="E178">
        <v>36.299999999999997</v>
      </c>
      <c r="F178">
        <v>40.85</v>
      </c>
      <c r="G178">
        <v>41</v>
      </c>
      <c r="H178">
        <v>40.200000000000003</v>
      </c>
      <c r="I178">
        <v>17371</v>
      </c>
      <c r="J178">
        <v>688603.8</v>
      </c>
      <c r="K178" s="13">
        <v>43994</v>
      </c>
      <c r="L178">
        <v>285</v>
      </c>
      <c r="M178" t="s">
        <v>399</v>
      </c>
    </row>
    <row r="179" spans="1:13" x14ac:dyDescent="0.35">
      <c r="A179" t="s">
        <v>400</v>
      </c>
      <c r="B179" t="s">
        <v>18</v>
      </c>
      <c r="C179">
        <v>125</v>
      </c>
      <c r="D179">
        <v>134.9</v>
      </c>
      <c r="E179">
        <v>124.55</v>
      </c>
      <c r="F179">
        <v>134.05000000000001</v>
      </c>
      <c r="G179">
        <v>133.75</v>
      </c>
      <c r="H179">
        <v>134.30000000000001</v>
      </c>
      <c r="I179">
        <v>1973132</v>
      </c>
      <c r="J179">
        <v>257310694.34999999</v>
      </c>
      <c r="K179" s="13">
        <v>43994</v>
      </c>
      <c r="L179">
        <v>18526</v>
      </c>
      <c r="M179" t="s">
        <v>401</v>
      </c>
    </row>
    <row r="180" spans="1:13" x14ac:dyDescent="0.35">
      <c r="A180" t="s">
        <v>402</v>
      </c>
      <c r="B180" t="s">
        <v>18</v>
      </c>
      <c r="C180">
        <v>34.25</v>
      </c>
      <c r="D180">
        <v>34.9</v>
      </c>
      <c r="E180">
        <v>33.6</v>
      </c>
      <c r="F180">
        <v>34.450000000000003</v>
      </c>
      <c r="G180">
        <v>34.450000000000003</v>
      </c>
      <c r="H180">
        <v>33.6</v>
      </c>
      <c r="I180">
        <v>947</v>
      </c>
      <c r="J180">
        <v>32275.599999999999</v>
      </c>
      <c r="K180" s="13">
        <v>43994</v>
      </c>
      <c r="L180">
        <v>23</v>
      </c>
      <c r="M180" t="s">
        <v>403</v>
      </c>
    </row>
    <row r="181" spans="1:13" x14ac:dyDescent="0.35">
      <c r="A181" t="s">
        <v>404</v>
      </c>
      <c r="B181" t="s">
        <v>18</v>
      </c>
      <c r="C181">
        <v>933</v>
      </c>
      <c r="D181">
        <v>974.9</v>
      </c>
      <c r="E181">
        <v>932.9</v>
      </c>
      <c r="F181">
        <v>972</v>
      </c>
      <c r="G181">
        <v>974</v>
      </c>
      <c r="H181">
        <v>982</v>
      </c>
      <c r="I181">
        <v>825</v>
      </c>
      <c r="J181">
        <v>789757.55</v>
      </c>
      <c r="K181" s="13">
        <v>43994</v>
      </c>
      <c r="L181">
        <v>289</v>
      </c>
      <c r="M181" t="s">
        <v>405</v>
      </c>
    </row>
    <row r="182" spans="1:13" x14ac:dyDescent="0.35">
      <c r="A182" t="s">
        <v>406</v>
      </c>
      <c r="B182" t="s">
        <v>18</v>
      </c>
      <c r="C182">
        <v>71</v>
      </c>
      <c r="D182">
        <v>72.7</v>
      </c>
      <c r="E182">
        <v>66</v>
      </c>
      <c r="F182">
        <v>71.099999999999994</v>
      </c>
      <c r="G182">
        <v>71.2</v>
      </c>
      <c r="H182">
        <v>70.599999999999994</v>
      </c>
      <c r="I182">
        <v>440249</v>
      </c>
      <c r="J182">
        <v>31058078.5</v>
      </c>
      <c r="K182" s="13">
        <v>43994</v>
      </c>
      <c r="L182">
        <v>3775</v>
      </c>
      <c r="M182" t="s">
        <v>407</v>
      </c>
    </row>
    <row r="183" spans="1:13" x14ac:dyDescent="0.35">
      <c r="A183" t="s">
        <v>408</v>
      </c>
      <c r="B183" t="s">
        <v>18</v>
      </c>
      <c r="C183">
        <v>250</v>
      </c>
      <c r="D183">
        <v>286.60000000000002</v>
      </c>
      <c r="E183">
        <v>248.55</v>
      </c>
      <c r="F183">
        <v>283.5</v>
      </c>
      <c r="G183">
        <v>282.8</v>
      </c>
      <c r="H183">
        <v>267.5</v>
      </c>
      <c r="I183">
        <v>22739682</v>
      </c>
      <c r="J183">
        <v>6099554002.1499996</v>
      </c>
      <c r="K183" s="13">
        <v>43994</v>
      </c>
      <c r="L183">
        <v>219263</v>
      </c>
      <c r="M183" t="s">
        <v>409</v>
      </c>
    </row>
    <row r="184" spans="1:13" x14ac:dyDescent="0.35">
      <c r="A184" t="s">
        <v>410</v>
      </c>
      <c r="B184" t="s">
        <v>18</v>
      </c>
      <c r="C184">
        <v>15.75</v>
      </c>
      <c r="D184">
        <v>16.95</v>
      </c>
      <c r="E184">
        <v>15.65</v>
      </c>
      <c r="F184">
        <v>16.899999999999999</v>
      </c>
      <c r="G184">
        <v>16.899999999999999</v>
      </c>
      <c r="H184">
        <v>16.649999999999999</v>
      </c>
      <c r="I184">
        <v>1004</v>
      </c>
      <c r="J184">
        <v>16150.1</v>
      </c>
      <c r="K184" s="13">
        <v>43994</v>
      </c>
      <c r="L184">
        <v>39</v>
      </c>
      <c r="M184" t="s">
        <v>411</v>
      </c>
    </row>
    <row r="185" spans="1:13" x14ac:dyDescent="0.35">
      <c r="A185" t="s">
        <v>412</v>
      </c>
      <c r="B185" t="s">
        <v>18</v>
      </c>
      <c r="C185">
        <v>42</v>
      </c>
      <c r="D185">
        <v>45.6</v>
      </c>
      <c r="E185">
        <v>41.85</v>
      </c>
      <c r="F185">
        <v>45.45</v>
      </c>
      <c r="G185">
        <v>45.45</v>
      </c>
      <c r="H185">
        <v>45.15</v>
      </c>
      <c r="I185">
        <v>44355747</v>
      </c>
      <c r="J185">
        <v>1960382767.45</v>
      </c>
      <c r="K185" s="13">
        <v>43994</v>
      </c>
      <c r="L185">
        <v>82989</v>
      </c>
      <c r="M185" t="s">
        <v>413</v>
      </c>
    </row>
    <row r="186" spans="1:13" x14ac:dyDescent="0.35">
      <c r="A186" t="s">
        <v>414</v>
      </c>
      <c r="B186" t="s">
        <v>18</v>
      </c>
      <c r="C186">
        <v>204.49</v>
      </c>
      <c r="D186">
        <v>208.55</v>
      </c>
      <c r="E186">
        <v>198</v>
      </c>
      <c r="F186">
        <v>207.74</v>
      </c>
      <c r="G186">
        <v>207.4</v>
      </c>
      <c r="H186">
        <v>206.77</v>
      </c>
      <c r="I186">
        <v>1892745</v>
      </c>
      <c r="J186">
        <v>385162949.82999998</v>
      </c>
      <c r="K186" s="13">
        <v>43994</v>
      </c>
      <c r="L186">
        <v>13781</v>
      </c>
      <c r="M186" t="s">
        <v>415</v>
      </c>
    </row>
    <row r="187" spans="1:13" x14ac:dyDescent="0.35">
      <c r="A187" t="s">
        <v>416</v>
      </c>
      <c r="B187" t="s">
        <v>18</v>
      </c>
      <c r="C187">
        <v>38</v>
      </c>
      <c r="D187">
        <v>41</v>
      </c>
      <c r="E187">
        <v>38</v>
      </c>
      <c r="F187">
        <v>40.799999999999997</v>
      </c>
      <c r="G187">
        <v>41</v>
      </c>
      <c r="H187">
        <v>40.950000000000003</v>
      </c>
      <c r="I187">
        <v>2445328</v>
      </c>
      <c r="J187">
        <v>97559142.200000003</v>
      </c>
      <c r="K187" s="13">
        <v>43994</v>
      </c>
      <c r="L187">
        <v>9269</v>
      </c>
      <c r="M187" t="s">
        <v>417</v>
      </c>
    </row>
    <row r="188" spans="1:13" x14ac:dyDescent="0.35">
      <c r="A188" t="s">
        <v>418</v>
      </c>
      <c r="B188" t="s">
        <v>18</v>
      </c>
      <c r="C188">
        <v>85.3</v>
      </c>
      <c r="D188">
        <v>87</v>
      </c>
      <c r="E188">
        <v>80.349999999999994</v>
      </c>
      <c r="F188">
        <v>86.35</v>
      </c>
      <c r="G188">
        <v>86.8</v>
      </c>
      <c r="H188">
        <v>85.3</v>
      </c>
      <c r="I188">
        <v>9399</v>
      </c>
      <c r="J188">
        <v>796199.8</v>
      </c>
      <c r="K188" s="13">
        <v>43994</v>
      </c>
      <c r="L188">
        <v>140</v>
      </c>
      <c r="M188" t="s">
        <v>419</v>
      </c>
    </row>
    <row r="189" spans="1:13" x14ac:dyDescent="0.35">
      <c r="A189" t="s">
        <v>3413</v>
      </c>
      <c r="B189" t="s">
        <v>3414</v>
      </c>
      <c r="C189">
        <v>1.9</v>
      </c>
      <c r="D189">
        <v>1.95</v>
      </c>
      <c r="E189">
        <v>1.9</v>
      </c>
      <c r="F189">
        <v>1.95</v>
      </c>
      <c r="G189">
        <v>1.95</v>
      </c>
      <c r="H189">
        <v>1.9</v>
      </c>
      <c r="I189">
        <v>6250</v>
      </c>
      <c r="J189">
        <v>12097.5</v>
      </c>
      <c r="K189" s="13">
        <v>43994</v>
      </c>
      <c r="L189">
        <v>19</v>
      </c>
      <c r="M189" t="s">
        <v>3415</v>
      </c>
    </row>
    <row r="190" spans="1:13" x14ac:dyDescent="0.35">
      <c r="A190" t="s">
        <v>420</v>
      </c>
      <c r="B190" t="s">
        <v>18</v>
      </c>
      <c r="C190">
        <v>1085</v>
      </c>
      <c r="D190">
        <v>1099</v>
      </c>
      <c r="E190">
        <v>1051.3</v>
      </c>
      <c r="F190">
        <v>1082.25</v>
      </c>
      <c r="G190">
        <v>1077.0999999999999</v>
      </c>
      <c r="H190">
        <v>1098.8499999999999</v>
      </c>
      <c r="I190">
        <v>19373</v>
      </c>
      <c r="J190">
        <v>20935201.899999999</v>
      </c>
      <c r="K190" s="13">
        <v>43994</v>
      </c>
      <c r="L190">
        <v>2690</v>
      </c>
      <c r="M190" t="s">
        <v>421</v>
      </c>
    </row>
    <row r="191" spans="1:13" x14ac:dyDescent="0.35">
      <c r="A191" t="s">
        <v>422</v>
      </c>
      <c r="B191" t="s">
        <v>18</v>
      </c>
      <c r="C191">
        <v>94.95</v>
      </c>
      <c r="D191">
        <v>96.1</v>
      </c>
      <c r="E191">
        <v>90</v>
      </c>
      <c r="F191">
        <v>94.95</v>
      </c>
      <c r="G191">
        <v>95.2</v>
      </c>
      <c r="H191">
        <v>97.35</v>
      </c>
      <c r="I191">
        <v>385</v>
      </c>
      <c r="J191">
        <v>35514.15</v>
      </c>
      <c r="K191" s="13">
        <v>43994</v>
      </c>
      <c r="L191">
        <v>30</v>
      </c>
      <c r="M191" t="s">
        <v>423</v>
      </c>
    </row>
    <row r="192" spans="1:13" x14ac:dyDescent="0.35">
      <c r="A192" t="s">
        <v>31</v>
      </c>
      <c r="B192" t="s">
        <v>18</v>
      </c>
      <c r="C192">
        <v>1275</v>
      </c>
      <c r="D192">
        <v>1373.7</v>
      </c>
      <c r="E192">
        <v>1275</v>
      </c>
      <c r="F192">
        <v>1366.35</v>
      </c>
      <c r="G192">
        <v>1371</v>
      </c>
      <c r="H192">
        <v>1340</v>
      </c>
      <c r="I192">
        <v>1057783</v>
      </c>
      <c r="J192">
        <v>1423615835</v>
      </c>
      <c r="K192" s="13">
        <v>43994</v>
      </c>
      <c r="L192">
        <v>36862</v>
      </c>
      <c r="M192" t="s">
        <v>424</v>
      </c>
    </row>
    <row r="193" spans="1:13" x14ac:dyDescent="0.35">
      <c r="A193" t="s">
        <v>425</v>
      </c>
      <c r="B193" t="s">
        <v>18</v>
      </c>
      <c r="C193">
        <v>5225</v>
      </c>
      <c r="D193">
        <v>5445</v>
      </c>
      <c r="E193">
        <v>5132.25</v>
      </c>
      <c r="F193">
        <v>5404.1</v>
      </c>
      <c r="G193">
        <v>5425</v>
      </c>
      <c r="H193">
        <v>5315.3</v>
      </c>
      <c r="I193">
        <v>17417</v>
      </c>
      <c r="J193">
        <v>92521359.549999997</v>
      </c>
      <c r="K193" s="13">
        <v>43994</v>
      </c>
      <c r="L193">
        <v>4104</v>
      </c>
      <c r="M193" t="s">
        <v>426</v>
      </c>
    </row>
    <row r="194" spans="1:13" x14ac:dyDescent="0.35">
      <c r="A194" t="s">
        <v>427</v>
      </c>
      <c r="B194" t="s">
        <v>18</v>
      </c>
      <c r="C194">
        <v>698.95</v>
      </c>
      <c r="D194">
        <v>710.95</v>
      </c>
      <c r="E194">
        <v>686.1</v>
      </c>
      <c r="F194">
        <v>704.4</v>
      </c>
      <c r="G194">
        <v>705</v>
      </c>
      <c r="H194">
        <v>698.75</v>
      </c>
      <c r="I194">
        <v>2943</v>
      </c>
      <c r="J194">
        <v>2051785</v>
      </c>
      <c r="K194" s="13">
        <v>43994</v>
      </c>
      <c r="L194">
        <v>347</v>
      </c>
      <c r="M194" t="s">
        <v>428</v>
      </c>
    </row>
    <row r="195" spans="1:13" x14ac:dyDescent="0.35">
      <c r="A195" t="s">
        <v>429</v>
      </c>
      <c r="B195" t="s">
        <v>18</v>
      </c>
      <c r="C195">
        <v>984</v>
      </c>
      <c r="D195">
        <v>1030</v>
      </c>
      <c r="E195">
        <v>975.35</v>
      </c>
      <c r="F195">
        <v>1020.45</v>
      </c>
      <c r="G195">
        <v>1017</v>
      </c>
      <c r="H195">
        <v>1007.95</v>
      </c>
      <c r="I195">
        <v>79252</v>
      </c>
      <c r="J195">
        <v>80299075.900000006</v>
      </c>
      <c r="K195" s="13">
        <v>43994</v>
      </c>
      <c r="L195">
        <v>5301</v>
      </c>
      <c r="M195" t="s">
        <v>430</v>
      </c>
    </row>
    <row r="196" spans="1:13" x14ac:dyDescent="0.35">
      <c r="A196" t="s">
        <v>3416</v>
      </c>
      <c r="B196" t="s">
        <v>3391</v>
      </c>
      <c r="C196">
        <v>10.9</v>
      </c>
      <c r="D196">
        <v>10.9</v>
      </c>
      <c r="E196">
        <v>10.9</v>
      </c>
      <c r="F196">
        <v>10.9</v>
      </c>
      <c r="G196">
        <v>10.9</v>
      </c>
      <c r="H196">
        <v>10.4</v>
      </c>
      <c r="I196">
        <v>782115</v>
      </c>
      <c r="J196">
        <v>8525053.5</v>
      </c>
      <c r="K196" s="13">
        <v>43994</v>
      </c>
      <c r="L196">
        <v>328</v>
      </c>
      <c r="M196" t="s">
        <v>3417</v>
      </c>
    </row>
    <row r="197" spans="1:13" x14ac:dyDescent="0.35">
      <c r="A197" t="s">
        <v>431</v>
      </c>
      <c r="B197" t="s">
        <v>18</v>
      </c>
      <c r="C197">
        <v>5.7</v>
      </c>
      <c r="D197">
        <v>5.85</v>
      </c>
      <c r="E197">
        <v>5.7</v>
      </c>
      <c r="F197">
        <v>5.8</v>
      </c>
      <c r="G197">
        <v>5.85</v>
      </c>
      <c r="H197">
        <v>5.8</v>
      </c>
      <c r="I197">
        <v>269573</v>
      </c>
      <c r="J197">
        <v>1545711.65</v>
      </c>
      <c r="K197" s="13">
        <v>43994</v>
      </c>
      <c r="L197">
        <v>267</v>
      </c>
      <c r="M197" t="s">
        <v>432</v>
      </c>
    </row>
    <row r="198" spans="1:13" x14ac:dyDescent="0.35">
      <c r="A198" t="s">
        <v>433</v>
      </c>
      <c r="B198" t="s">
        <v>18</v>
      </c>
      <c r="C198">
        <v>224</v>
      </c>
      <c r="D198">
        <v>238.9</v>
      </c>
      <c r="E198">
        <v>224</v>
      </c>
      <c r="F198">
        <v>235.65</v>
      </c>
      <c r="G198">
        <v>236.05</v>
      </c>
      <c r="H198">
        <v>237.3</v>
      </c>
      <c r="I198">
        <v>78109</v>
      </c>
      <c r="J198">
        <v>18125396.75</v>
      </c>
      <c r="K198" s="13">
        <v>43994</v>
      </c>
      <c r="L198">
        <v>2862</v>
      </c>
      <c r="M198" t="s">
        <v>434</v>
      </c>
    </row>
    <row r="199" spans="1:13" x14ac:dyDescent="0.35">
      <c r="A199" t="s">
        <v>3418</v>
      </c>
      <c r="B199" t="s">
        <v>3391</v>
      </c>
      <c r="C199">
        <v>9</v>
      </c>
      <c r="D199">
        <v>9.35</v>
      </c>
      <c r="E199">
        <v>8.6</v>
      </c>
      <c r="F199">
        <v>9.1999999999999993</v>
      </c>
      <c r="G199">
        <v>9.1999999999999993</v>
      </c>
      <c r="H199">
        <v>8.9499999999999993</v>
      </c>
      <c r="I199">
        <v>3953</v>
      </c>
      <c r="J199">
        <v>35260.9</v>
      </c>
      <c r="K199" s="13">
        <v>43994</v>
      </c>
      <c r="L199">
        <v>25</v>
      </c>
      <c r="M199" t="s">
        <v>3419</v>
      </c>
    </row>
    <row r="200" spans="1:13" x14ac:dyDescent="0.35">
      <c r="A200" t="s">
        <v>435</v>
      </c>
      <c r="B200" t="s">
        <v>18</v>
      </c>
      <c r="C200">
        <v>13.75</v>
      </c>
      <c r="D200">
        <v>13.75</v>
      </c>
      <c r="E200">
        <v>12.7</v>
      </c>
      <c r="F200">
        <v>13.15</v>
      </c>
      <c r="G200">
        <v>13</v>
      </c>
      <c r="H200">
        <v>13.1</v>
      </c>
      <c r="I200">
        <v>2338</v>
      </c>
      <c r="J200">
        <v>30707.45</v>
      </c>
      <c r="K200" s="13">
        <v>43994</v>
      </c>
      <c r="L200">
        <v>23</v>
      </c>
      <c r="M200" t="s">
        <v>436</v>
      </c>
    </row>
    <row r="201" spans="1:13" x14ac:dyDescent="0.35">
      <c r="A201" t="s">
        <v>437</v>
      </c>
      <c r="B201" t="s">
        <v>18</v>
      </c>
      <c r="C201">
        <v>67.400000000000006</v>
      </c>
      <c r="D201">
        <v>72.25</v>
      </c>
      <c r="E201">
        <v>67.400000000000006</v>
      </c>
      <c r="F201">
        <v>71.900000000000006</v>
      </c>
      <c r="G201">
        <v>71.8</v>
      </c>
      <c r="H201">
        <v>70.650000000000006</v>
      </c>
      <c r="I201">
        <v>14101934</v>
      </c>
      <c r="J201">
        <v>993477288.45000005</v>
      </c>
      <c r="K201" s="13">
        <v>43994</v>
      </c>
      <c r="L201">
        <v>46617</v>
      </c>
      <c r="M201" t="s">
        <v>438</v>
      </c>
    </row>
    <row r="202" spans="1:13" x14ac:dyDescent="0.35">
      <c r="A202" t="s">
        <v>439</v>
      </c>
      <c r="B202" t="s">
        <v>18</v>
      </c>
      <c r="C202">
        <v>553.4</v>
      </c>
      <c r="D202">
        <v>602.20000000000005</v>
      </c>
      <c r="E202">
        <v>553.4</v>
      </c>
      <c r="F202">
        <v>595.9</v>
      </c>
      <c r="G202">
        <v>595.79999999999995</v>
      </c>
      <c r="H202">
        <v>602.1</v>
      </c>
      <c r="I202">
        <v>543180</v>
      </c>
      <c r="J202">
        <v>318971111.89999998</v>
      </c>
      <c r="K202" s="13">
        <v>43994</v>
      </c>
      <c r="L202">
        <v>17052</v>
      </c>
      <c r="M202" t="s">
        <v>440</v>
      </c>
    </row>
    <row r="203" spans="1:13" x14ac:dyDescent="0.35">
      <c r="A203" t="s">
        <v>441</v>
      </c>
      <c r="B203" t="s">
        <v>18</v>
      </c>
      <c r="C203">
        <v>44.4</v>
      </c>
      <c r="D203">
        <v>46.3</v>
      </c>
      <c r="E203">
        <v>42.2</v>
      </c>
      <c r="F203">
        <v>45.7</v>
      </c>
      <c r="G203">
        <v>45.6</v>
      </c>
      <c r="H203">
        <v>46.35</v>
      </c>
      <c r="I203">
        <v>881455</v>
      </c>
      <c r="J203">
        <v>39543017.450000003</v>
      </c>
      <c r="K203" s="13">
        <v>43994</v>
      </c>
      <c r="L203">
        <v>5494</v>
      </c>
      <c r="M203" t="s">
        <v>442</v>
      </c>
    </row>
    <row r="204" spans="1:13" x14ac:dyDescent="0.35">
      <c r="A204" t="s">
        <v>35</v>
      </c>
      <c r="B204" t="s">
        <v>18</v>
      </c>
      <c r="C204">
        <v>470</v>
      </c>
      <c r="D204">
        <v>504.55</v>
      </c>
      <c r="E204">
        <v>470</v>
      </c>
      <c r="F204">
        <v>501.65</v>
      </c>
      <c r="G204">
        <v>500.05</v>
      </c>
      <c r="H204">
        <v>489.2</v>
      </c>
      <c r="I204">
        <v>1653683</v>
      </c>
      <c r="J204">
        <v>813699443.64999998</v>
      </c>
      <c r="K204" s="13">
        <v>43994</v>
      </c>
      <c r="L204">
        <v>24896</v>
      </c>
      <c r="M204" t="s">
        <v>443</v>
      </c>
    </row>
    <row r="205" spans="1:13" x14ac:dyDescent="0.35">
      <c r="A205" t="s">
        <v>3420</v>
      </c>
      <c r="B205" t="s">
        <v>3381</v>
      </c>
      <c r="C205">
        <v>52.9</v>
      </c>
      <c r="D205">
        <v>52.9</v>
      </c>
      <c r="E205">
        <v>51</v>
      </c>
      <c r="F205">
        <v>51</v>
      </c>
      <c r="G205">
        <v>51</v>
      </c>
      <c r="H205">
        <v>50.5</v>
      </c>
      <c r="I205">
        <v>1600</v>
      </c>
      <c r="J205">
        <v>83120</v>
      </c>
      <c r="K205" s="13">
        <v>43994</v>
      </c>
      <c r="L205">
        <v>2</v>
      </c>
      <c r="M205" t="s">
        <v>3421</v>
      </c>
    </row>
    <row r="206" spans="1:13" x14ac:dyDescent="0.35">
      <c r="A206" t="s">
        <v>444</v>
      </c>
      <c r="B206" t="s">
        <v>18</v>
      </c>
      <c r="C206">
        <v>270</v>
      </c>
      <c r="D206">
        <v>308.89999999999998</v>
      </c>
      <c r="E206">
        <v>261</v>
      </c>
      <c r="F206">
        <v>300.2</v>
      </c>
      <c r="G206">
        <v>297.5</v>
      </c>
      <c r="H206">
        <v>280.05</v>
      </c>
      <c r="I206">
        <v>15110</v>
      </c>
      <c r="J206">
        <v>4414350.5</v>
      </c>
      <c r="K206" s="13">
        <v>43994</v>
      </c>
      <c r="L206">
        <v>761</v>
      </c>
      <c r="M206" t="s">
        <v>445</v>
      </c>
    </row>
    <row r="207" spans="1:13" x14ac:dyDescent="0.35">
      <c r="A207" t="s">
        <v>446</v>
      </c>
      <c r="B207" t="s">
        <v>18</v>
      </c>
      <c r="C207">
        <v>175.25</v>
      </c>
      <c r="D207">
        <v>196</v>
      </c>
      <c r="E207">
        <v>171.3</v>
      </c>
      <c r="F207">
        <v>190.8</v>
      </c>
      <c r="G207">
        <v>190</v>
      </c>
      <c r="H207">
        <v>181.75</v>
      </c>
      <c r="I207">
        <v>649633</v>
      </c>
      <c r="J207">
        <v>121145891.75</v>
      </c>
      <c r="K207" s="13">
        <v>43994</v>
      </c>
      <c r="L207">
        <v>8485</v>
      </c>
      <c r="M207" t="s">
        <v>447</v>
      </c>
    </row>
    <row r="208" spans="1:13" x14ac:dyDescent="0.35">
      <c r="A208" t="s">
        <v>448</v>
      </c>
      <c r="B208" t="s">
        <v>18</v>
      </c>
      <c r="C208">
        <v>27.75</v>
      </c>
      <c r="D208">
        <v>30.5</v>
      </c>
      <c r="E208">
        <v>27.75</v>
      </c>
      <c r="F208">
        <v>30.25</v>
      </c>
      <c r="G208">
        <v>30.3</v>
      </c>
      <c r="H208">
        <v>30.5</v>
      </c>
      <c r="I208">
        <v>95816</v>
      </c>
      <c r="J208">
        <v>2839201.3</v>
      </c>
      <c r="K208" s="13">
        <v>43994</v>
      </c>
      <c r="L208">
        <v>820</v>
      </c>
      <c r="M208" t="s">
        <v>449</v>
      </c>
    </row>
    <row r="209" spans="1:13" x14ac:dyDescent="0.35">
      <c r="A209" t="s">
        <v>450</v>
      </c>
      <c r="B209" t="s">
        <v>18</v>
      </c>
      <c r="C209">
        <v>105.1</v>
      </c>
      <c r="D209">
        <v>111</v>
      </c>
      <c r="E209">
        <v>102.15</v>
      </c>
      <c r="F209">
        <v>109.5</v>
      </c>
      <c r="G209">
        <v>111</v>
      </c>
      <c r="H209">
        <v>110.25</v>
      </c>
      <c r="I209">
        <v>41133</v>
      </c>
      <c r="J209">
        <v>4409560.5999999996</v>
      </c>
      <c r="K209" s="13">
        <v>43994</v>
      </c>
      <c r="L209">
        <v>970</v>
      </c>
      <c r="M209" t="s">
        <v>451</v>
      </c>
    </row>
    <row r="210" spans="1:13" x14ac:dyDescent="0.35">
      <c r="A210" t="s">
        <v>452</v>
      </c>
      <c r="B210" t="s">
        <v>18</v>
      </c>
      <c r="C210">
        <v>15.75</v>
      </c>
      <c r="D210">
        <v>16.25</v>
      </c>
      <c r="E210">
        <v>15.4</v>
      </c>
      <c r="F210">
        <v>16.2</v>
      </c>
      <c r="G210">
        <v>16.2</v>
      </c>
      <c r="H210">
        <v>15.95</v>
      </c>
      <c r="I210">
        <v>4791</v>
      </c>
      <c r="J210">
        <v>75515.149999999994</v>
      </c>
      <c r="K210" s="13">
        <v>43994</v>
      </c>
      <c r="L210">
        <v>67</v>
      </c>
      <c r="M210" t="s">
        <v>453</v>
      </c>
    </row>
    <row r="211" spans="1:13" x14ac:dyDescent="0.35">
      <c r="A211" t="s">
        <v>454</v>
      </c>
      <c r="B211" t="s">
        <v>18</v>
      </c>
      <c r="C211">
        <v>19</v>
      </c>
      <c r="D211">
        <v>21.35</v>
      </c>
      <c r="E211">
        <v>18.8</v>
      </c>
      <c r="F211">
        <v>19</v>
      </c>
      <c r="G211">
        <v>19</v>
      </c>
      <c r="H211">
        <v>19.45</v>
      </c>
      <c r="I211">
        <v>539</v>
      </c>
      <c r="J211">
        <v>10450.200000000001</v>
      </c>
      <c r="K211" s="13">
        <v>43994</v>
      </c>
      <c r="L211">
        <v>16</v>
      </c>
      <c r="M211" t="s">
        <v>455</v>
      </c>
    </row>
    <row r="212" spans="1:13" x14ac:dyDescent="0.35">
      <c r="A212" t="s">
        <v>456</v>
      </c>
      <c r="B212" t="s">
        <v>18</v>
      </c>
      <c r="C212">
        <v>1.3</v>
      </c>
      <c r="D212">
        <v>1.3</v>
      </c>
      <c r="E212">
        <v>1.25</v>
      </c>
      <c r="F212">
        <v>1.25</v>
      </c>
      <c r="G212">
        <v>1.3</v>
      </c>
      <c r="H212">
        <v>1.35</v>
      </c>
      <c r="I212">
        <v>529369</v>
      </c>
      <c r="J212">
        <v>666740.25</v>
      </c>
      <c r="K212" s="13">
        <v>43994</v>
      </c>
      <c r="L212">
        <v>625</v>
      </c>
      <c r="M212" t="s">
        <v>457</v>
      </c>
    </row>
    <row r="213" spans="1:13" x14ac:dyDescent="0.35">
      <c r="A213" t="s">
        <v>458</v>
      </c>
      <c r="B213" t="s">
        <v>18</v>
      </c>
      <c r="C213">
        <v>330</v>
      </c>
      <c r="D213">
        <v>355.2</v>
      </c>
      <c r="E213">
        <v>327</v>
      </c>
      <c r="F213">
        <v>350.5</v>
      </c>
      <c r="G213">
        <v>351</v>
      </c>
      <c r="H213">
        <v>353.35</v>
      </c>
      <c r="I213">
        <v>2224297</v>
      </c>
      <c r="J213">
        <v>762657190.64999998</v>
      </c>
      <c r="K213" s="13">
        <v>43994</v>
      </c>
      <c r="L213">
        <v>42693</v>
      </c>
      <c r="M213" t="s">
        <v>459</v>
      </c>
    </row>
    <row r="214" spans="1:13" x14ac:dyDescent="0.35">
      <c r="A214" t="s">
        <v>460</v>
      </c>
      <c r="B214" t="s">
        <v>18</v>
      </c>
      <c r="C214">
        <v>42</v>
      </c>
      <c r="D214">
        <v>42.9</v>
      </c>
      <c r="E214">
        <v>39.1</v>
      </c>
      <c r="F214">
        <v>41.6</v>
      </c>
      <c r="G214">
        <v>41.7</v>
      </c>
      <c r="H214">
        <v>42</v>
      </c>
      <c r="I214">
        <v>6343</v>
      </c>
      <c r="J214">
        <v>259702.7</v>
      </c>
      <c r="K214" s="13">
        <v>43994</v>
      </c>
      <c r="L214">
        <v>118</v>
      </c>
      <c r="M214" t="s">
        <v>461</v>
      </c>
    </row>
    <row r="215" spans="1:13" x14ac:dyDescent="0.35">
      <c r="A215" t="s">
        <v>462</v>
      </c>
      <c r="B215" t="s">
        <v>18</v>
      </c>
      <c r="C215">
        <v>7050</v>
      </c>
      <c r="D215">
        <v>7185</v>
      </c>
      <c r="E215">
        <v>6850</v>
      </c>
      <c r="F215">
        <v>7033.95</v>
      </c>
      <c r="G215">
        <v>7006</v>
      </c>
      <c r="H215">
        <v>7059.2</v>
      </c>
      <c r="I215">
        <v>3348</v>
      </c>
      <c r="J215">
        <v>23251934.800000001</v>
      </c>
      <c r="K215" s="13">
        <v>43994</v>
      </c>
      <c r="L215">
        <v>1163</v>
      </c>
      <c r="M215" t="s">
        <v>463</v>
      </c>
    </row>
    <row r="216" spans="1:13" x14ac:dyDescent="0.35">
      <c r="A216" t="s">
        <v>464</v>
      </c>
      <c r="B216" t="s">
        <v>18</v>
      </c>
      <c r="C216">
        <v>18.8</v>
      </c>
      <c r="D216">
        <v>19.5</v>
      </c>
      <c r="E216">
        <v>18.8</v>
      </c>
      <c r="F216">
        <v>19.149999999999999</v>
      </c>
      <c r="G216">
        <v>19</v>
      </c>
      <c r="H216">
        <v>19.75</v>
      </c>
      <c r="I216">
        <v>21251</v>
      </c>
      <c r="J216">
        <v>403009.5</v>
      </c>
      <c r="K216" s="13">
        <v>43994</v>
      </c>
      <c r="L216">
        <v>269</v>
      </c>
      <c r="M216" t="s">
        <v>465</v>
      </c>
    </row>
    <row r="217" spans="1:13" x14ac:dyDescent="0.35">
      <c r="A217" t="s">
        <v>466</v>
      </c>
      <c r="B217" t="s">
        <v>18</v>
      </c>
      <c r="C217">
        <v>540</v>
      </c>
      <c r="D217">
        <v>562</v>
      </c>
      <c r="E217">
        <v>540</v>
      </c>
      <c r="F217">
        <v>560.1</v>
      </c>
      <c r="G217">
        <v>559.5</v>
      </c>
      <c r="H217">
        <v>551.85</v>
      </c>
      <c r="I217">
        <v>18870757</v>
      </c>
      <c r="J217">
        <v>10478985242.75</v>
      </c>
      <c r="K217" s="13">
        <v>43994</v>
      </c>
      <c r="L217">
        <v>235264</v>
      </c>
      <c r="M217" t="s">
        <v>467</v>
      </c>
    </row>
    <row r="218" spans="1:13" x14ac:dyDescent="0.35">
      <c r="A218" t="s">
        <v>468</v>
      </c>
      <c r="B218" t="s">
        <v>18</v>
      </c>
      <c r="C218">
        <v>28.4</v>
      </c>
      <c r="D218">
        <v>31.8</v>
      </c>
      <c r="E218">
        <v>28.25</v>
      </c>
      <c r="F218">
        <v>31.4</v>
      </c>
      <c r="G218">
        <v>31.2</v>
      </c>
      <c r="H218">
        <v>30</v>
      </c>
      <c r="I218">
        <v>73184782</v>
      </c>
      <c r="J218">
        <v>2209801243.3000002</v>
      </c>
      <c r="K218" s="13">
        <v>43994</v>
      </c>
      <c r="L218">
        <v>88428</v>
      </c>
      <c r="M218" t="s">
        <v>469</v>
      </c>
    </row>
    <row r="219" spans="1:13" x14ac:dyDescent="0.35">
      <c r="A219" t="s">
        <v>470</v>
      </c>
      <c r="B219" t="s">
        <v>18</v>
      </c>
      <c r="C219">
        <v>28.2</v>
      </c>
      <c r="D219">
        <v>28.2</v>
      </c>
      <c r="E219">
        <v>26.9</v>
      </c>
      <c r="F219">
        <v>27.95</v>
      </c>
      <c r="G219">
        <v>27.95</v>
      </c>
      <c r="H219">
        <v>28.3</v>
      </c>
      <c r="I219">
        <v>915</v>
      </c>
      <c r="J219">
        <v>25359.25</v>
      </c>
      <c r="K219" s="13">
        <v>43994</v>
      </c>
      <c r="L219">
        <v>11</v>
      </c>
      <c r="M219" t="s">
        <v>471</v>
      </c>
    </row>
    <row r="220" spans="1:13" x14ac:dyDescent="0.35">
      <c r="A220" t="s">
        <v>472</v>
      </c>
      <c r="B220" t="s">
        <v>18</v>
      </c>
      <c r="C220">
        <v>94</v>
      </c>
      <c r="D220">
        <v>103.95</v>
      </c>
      <c r="E220">
        <v>94</v>
      </c>
      <c r="F220">
        <v>98.15</v>
      </c>
      <c r="G220">
        <v>98.8</v>
      </c>
      <c r="H220">
        <v>102.3</v>
      </c>
      <c r="I220">
        <v>11223</v>
      </c>
      <c r="J220">
        <v>1095188.1499999999</v>
      </c>
      <c r="K220" s="13">
        <v>43994</v>
      </c>
      <c r="L220">
        <v>717</v>
      </c>
      <c r="M220" t="s">
        <v>473</v>
      </c>
    </row>
    <row r="221" spans="1:13" x14ac:dyDescent="0.35">
      <c r="A221" t="s">
        <v>474</v>
      </c>
      <c r="B221" t="s">
        <v>18</v>
      </c>
      <c r="C221">
        <v>1.1499999999999999</v>
      </c>
      <c r="D221">
        <v>1.1499999999999999</v>
      </c>
      <c r="E221">
        <v>1.1499999999999999</v>
      </c>
      <c r="F221">
        <v>1.1499999999999999</v>
      </c>
      <c r="G221">
        <v>1.1499999999999999</v>
      </c>
      <c r="H221">
        <v>1.1000000000000001</v>
      </c>
      <c r="I221">
        <v>625312</v>
      </c>
      <c r="J221">
        <v>719108.8</v>
      </c>
      <c r="K221" s="13">
        <v>43994</v>
      </c>
      <c r="L221">
        <v>293</v>
      </c>
      <c r="M221" t="s">
        <v>475</v>
      </c>
    </row>
    <row r="222" spans="1:13" x14ac:dyDescent="0.35">
      <c r="A222" t="s">
        <v>476</v>
      </c>
      <c r="B222" t="s">
        <v>18</v>
      </c>
      <c r="C222">
        <v>9.8000000000000007</v>
      </c>
      <c r="D222">
        <v>10.8</v>
      </c>
      <c r="E222">
        <v>9.8000000000000007</v>
      </c>
      <c r="F222">
        <v>10.65</v>
      </c>
      <c r="G222">
        <v>10.8</v>
      </c>
      <c r="H222">
        <v>10.7</v>
      </c>
      <c r="I222">
        <v>31473</v>
      </c>
      <c r="J222">
        <v>325489.40000000002</v>
      </c>
      <c r="K222" s="13">
        <v>43994</v>
      </c>
      <c r="L222">
        <v>190</v>
      </c>
      <c r="M222" t="s">
        <v>477</v>
      </c>
    </row>
    <row r="223" spans="1:13" x14ac:dyDescent="0.35">
      <c r="A223" t="s">
        <v>478</v>
      </c>
      <c r="B223" t="s">
        <v>18</v>
      </c>
      <c r="C223">
        <v>386</v>
      </c>
      <c r="D223">
        <v>396.25</v>
      </c>
      <c r="E223">
        <v>381.2</v>
      </c>
      <c r="F223">
        <v>384.8</v>
      </c>
      <c r="G223">
        <v>384.6</v>
      </c>
      <c r="H223">
        <v>386.95</v>
      </c>
      <c r="I223">
        <v>7259146</v>
      </c>
      <c r="J223">
        <v>2805625944.3499999</v>
      </c>
      <c r="K223" s="13">
        <v>43994</v>
      </c>
      <c r="L223">
        <v>79273</v>
      </c>
      <c r="M223" t="s">
        <v>479</v>
      </c>
    </row>
    <row r="224" spans="1:13" x14ac:dyDescent="0.35">
      <c r="A224" t="s">
        <v>3422</v>
      </c>
      <c r="B224" t="s">
        <v>3391</v>
      </c>
      <c r="C224">
        <v>12.25</v>
      </c>
      <c r="D224">
        <v>13.2</v>
      </c>
      <c r="E224">
        <v>12.1</v>
      </c>
      <c r="F224">
        <v>13</v>
      </c>
      <c r="G224">
        <v>13</v>
      </c>
      <c r="H224">
        <v>12.7</v>
      </c>
      <c r="I224">
        <v>15275</v>
      </c>
      <c r="J224">
        <v>193572.1</v>
      </c>
      <c r="K224" s="13">
        <v>43994</v>
      </c>
      <c r="L224">
        <v>83</v>
      </c>
      <c r="M224" t="s">
        <v>3423</v>
      </c>
    </row>
    <row r="225" spans="1:13" x14ac:dyDescent="0.35">
      <c r="A225" t="s">
        <v>480</v>
      </c>
      <c r="B225" t="s">
        <v>18</v>
      </c>
      <c r="C225">
        <v>42.25</v>
      </c>
      <c r="D225">
        <v>44.5</v>
      </c>
      <c r="E225">
        <v>42.25</v>
      </c>
      <c r="F225">
        <v>43.7</v>
      </c>
      <c r="G225">
        <v>44.3</v>
      </c>
      <c r="H225">
        <v>44.65</v>
      </c>
      <c r="I225">
        <v>56024</v>
      </c>
      <c r="J225">
        <v>2407195.9500000002</v>
      </c>
      <c r="K225" s="13">
        <v>43994</v>
      </c>
      <c r="L225">
        <v>729</v>
      </c>
      <c r="M225" t="s">
        <v>481</v>
      </c>
    </row>
    <row r="226" spans="1:13" x14ac:dyDescent="0.35">
      <c r="A226" t="s">
        <v>482</v>
      </c>
      <c r="B226" t="s">
        <v>18</v>
      </c>
      <c r="C226">
        <v>500</v>
      </c>
      <c r="D226">
        <v>530</v>
      </c>
      <c r="E226">
        <v>497</v>
      </c>
      <c r="F226">
        <v>522.25</v>
      </c>
      <c r="G226">
        <v>521.5</v>
      </c>
      <c r="H226">
        <v>525.70000000000005</v>
      </c>
      <c r="I226">
        <v>143373</v>
      </c>
      <c r="J226">
        <v>73938254.549999997</v>
      </c>
      <c r="K226" s="13">
        <v>43994</v>
      </c>
      <c r="L226">
        <v>6926</v>
      </c>
      <c r="M226" t="s">
        <v>483</v>
      </c>
    </row>
    <row r="227" spans="1:13" x14ac:dyDescent="0.35">
      <c r="A227" t="s">
        <v>484</v>
      </c>
      <c r="B227" t="s">
        <v>18</v>
      </c>
      <c r="C227">
        <v>31.5</v>
      </c>
      <c r="D227">
        <v>33.25</v>
      </c>
      <c r="E227">
        <v>30.5</v>
      </c>
      <c r="F227">
        <v>32.15</v>
      </c>
      <c r="G227">
        <v>31.55</v>
      </c>
      <c r="H227">
        <v>32.799999999999997</v>
      </c>
      <c r="I227">
        <v>299553</v>
      </c>
      <c r="J227">
        <v>9586411.9499999993</v>
      </c>
      <c r="K227" s="13">
        <v>43994</v>
      </c>
      <c r="L227">
        <v>1650</v>
      </c>
      <c r="M227" t="s">
        <v>485</v>
      </c>
    </row>
    <row r="228" spans="1:13" x14ac:dyDescent="0.35">
      <c r="A228" t="s">
        <v>3424</v>
      </c>
      <c r="B228" t="s">
        <v>3391</v>
      </c>
      <c r="C228">
        <v>25.85</v>
      </c>
      <c r="D228">
        <v>25.85</v>
      </c>
      <c r="E228">
        <v>25.85</v>
      </c>
      <c r="F228">
        <v>25.85</v>
      </c>
      <c r="G228">
        <v>25.85</v>
      </c>
      <c r="H228">
        <v>24.65</v>
      </c>
      <c r="I228">
        <v>214623</v>
      </c>
      <c r="J228">
        <v>5548004.5499999998</v>
      </c>
      <c r="K228" s="13">
        <v>43994</v>
      </c>
      <c r="L228">
        <v>809</v>
      </c>
      <c r="M228" t="s">
        <v>3425</v>
      </c>
    </row>
    <row r="229" spans="1:13" x14ac:dyDescent="0.35">
      <c r="A229" t="s">
        <v>486</v>
      </c>
      <c r="B229" t="s">
        <v>18</v>
      </c>
      <c r="C229">
        <v>1.1000000000000001</v>
      </c>
      <c r="D229">
        <v>1.1000000000000001</v>
      </c>
      <c r="E229">
        <v>1</v>
      </c>
      <c r="F229">
        <v>1</v>
      </c>
      <c r="G229">
        <v>1</v>
      </c>
      <c r="H229">
        <v>1.05</v>
      </c>
      <c r="I229">
        <v>563816</v>
      </c>
      <c r="J229">
        <v>584382.69999999995</v>
      </c>
      <c r="K229" s="13">
        <v>43994</v>
      </c>
      <c r="L229">
        <v>259</v>
      </c>
      <c r="M229" t="s">
        <v>487</v>
      </c>
    </row>
    <row r="230" spans="1:13" x14ac:dyDescent="0.35">
      <c r="A230" t="s">
        <v>488</v>
      </c>
      <c r="B230" t="s">
        <v>18</v>
      </c>
      <c r="C230">
        <v>3.75</v>
      </c>
      <c r="D230">
        <v>3.8</v>
      </c>
      <c r="E230">
        <v>3.25</v>
      </c>
      <c r="F230">
        <v>3.5</v>
      </c>
      <c r="G230">
        <v>3.4</v>
      </c>
      <c r="H230">
        <v>3.75</v>
      </c>
      <c r="I230">
        <v>7698</v>
      </c>
      <c r="J230">
        <v>26736</v>
      </c>
      <c r="K230" s="13">
        <v>43994</v>
      </c>
      <c r="L230">
        <v>36</v>
      </c>
      <c r="M230" t="s">
        <v>489</v>
      </c>
    </row>
    <row r="231" spans="1:13" x14ac:dyDescent="0.35">
      <c r="A231" t="s">
        <v>490</v>
      </c>
      <c r="B231" t="s">
        <v>18</v>
      </c>
      <c r="C231">
        <v>99</v>
      </c>
      <c r="D231">
        <v>106.7</v>
      </c>
      <c r="E231">
        <v>99</v>
      </c>
      <c r="F231">
        <v>105.1</v>
      </c>
      <c r="G231">
        <v>106</v>
      </c>
      <c r="H231">
        <v>102.4</v>
      </c>
      <c r="I231">
        <v>360847</v>
      </c>
      <c r="J231">
        <v>37666789.299999997</v>
      </c>
      <c r="K231" s="13">
        <v>43994</v>
      </c>
      <c r="L231">
        <v>3380</v>
      </c>
      <c r="M231" t="s">
        <v>491</v>
      </c>
    </row>
    <row r="232" spans="1:13" x14ac:dyDescent="0.35">
      <c r="A232" t="s">
        <v>492</v>
      </c>
      <c r="B232" t="s">
        <v>18</v>
      </c>
      <c r="C232">
        <v>5.3</v>
      </c>
      <c r="D232">
        <v>5.3</v>
      </c>
      <c r="E232">
        <v>5.3</v>
      </c>
      <c r="F232">
        <v>5.3</v>
      </c>
      <c r="G232">
        <v>5.3</v>
      </c>
      <c r="H232">
        <v>5.55</v>
      </c>
      <c r="I232">
        <v>10746</v>
      </c>
      <c r="J232">
        <v>56953.8</v>
      </c>
      <c r="K232" s="13">
        <v>43994</v>
      </c>
      <c r="L232">
        <v>46</v>
      </c>
      <c r="M232" t="s">
        <v>493</v>
      </c>
    </row>
    <row r="233" spans="1:13" x14ac:dyDescent="0.35">
      <c r="A233" t="s">
        <v>494</v>
      </c>
      <c r="B233" t="s">
        <v>18</v>
      </c>
      <c r="C233">
        <v>40.049999999999997</v>
      </c>
      <c r="D233">
        <v>50.4</v>
      </c>
      <c r="E233">
        <v>38.25</v>
      </c>
      <c r="F233">
        <v>44.35</v>
      </c>
      <c r="G233">
        <v>44.6</v>
      </c>
      <c r="H233">
        <v>42.7</v>
      </c>
      <c r="I233">
        <v>78125</v>
      </c>
      <c r="J233">
        <v>3200415.9</v>
      </c>
      <c r="K233" s="13">
        <v>43994</v>
      </c>
      <c r="L233">
        <v>890</v>
      </c>
      <c r="M233" t="s">
        <v>495</v>
      </c>
    </row>
    <row r="234" spans="1:13" x14ac:dyDescent="0.35">
      <c r="A234" t="s">
        <v>496</v>
      </c>
      <c r="B234" t="s">
        <v>18</v>
      </c>
      <c r="C234">
        <v>3.35</v>
      </c>
      <c r="D234">
        <v>3.35</v>
      </c>
      <c r="E234">
        <v>3.35</v>
      </c>
      <c r="F234">
        <v>3.35</v>
      </c>
      <c r="G234">
        <v>3.35</v>
      </c>
      <c r="H234">
        <v>3.2</v>
      </c>
      <c r="I234">
        <v>1760</v>
      </c>
      <c r="J234">
        <v>5896</v>
      </c>
      <c r="K234" s="13">
        <v>43994</v>
      </c>
      <c r="L234">
        <v>5</v>
      </c>
      <c r="M234" t="s">
        <v>497</v>
      </c>
    </row>
    <row r="235" spans="1:13" x14ac:dyDescent="0.35">
      <c r="A235" t="s">
        <v>498</v>
      </c>
      <c r="B235" t="s">
        <v>18</v>
      </c>
      <c r="C235">
        <v>2026.4</v>
      </c>
      <c r="D235">
        <v>2067.9499999999998</v>
      </c>
      <c r="E235">
        <v>2025.5</v>
      </c>
      <c r="F235">
        <v>2060</v>
      </c>
      <c r="G235">
        <v>2060.0500000000002</v>
      </c>
      <c r="H235">
        <v>2083</v>
      </c>
      <c r="I235">
        <v>8935</v>
      </c>
      <c r="J235">
        <v>18310996.649999999</v>
      </c>
      <c r="K235" s="13">
        <v>43994</v>
      </c>
      <c r="L235">
        <v>1720</v>
      </c>
      <c r="M235" t="s">
        <v>499</v>
      </c>
    </row>
    <row r="236" spans="1:13" x14ac:dyDescent="0.35">
      <c r="A236" t="s">
        <v>500</v>
      </c>
      <c r="B236" t="s">
        <v>18</v>
      </c>
      <c r="C236">
        <v>499</v>
      </c>
      <c r="D236">
        <v>505</v>
      </c>
      <c r="E236">
        <v>490.05</v>
      </c>
      <c r="F236">
        <v>502.25</v>
      </c>
      <c r="G236">
        <v>503</v>
      </c>
      <c r="H236">
        <v>513.29999999999995</v>
      </c>
      <c r="I236">
        <v>136102</v>
      </c>
      <c r="J236">
        <v>68184294.200000003</v>
      </c>
      <c r="K236" s="13">
        <v>43994</v>
      </c>
      <c r="L236">
        <v>4529</v>
      </c>
      <c r="M236" t="s">
        <v>501</v>
      </c>
    </row>
    <row r="237" spans="1:13" x14ac:dyDescent="0.35">
      <c r="A237" t="s">
        <v>502</v>
      </c>
      <c r="B237" t="s">
        <v>18</v>
      </c>
      <c r="C237">
        <v>53.2</v>
      </c>
      <c r="D237">
        <v>55.85</v>
      </c>
      <c r="E237">
        <v>53.2</v>
      </c>
      <c r="F237">
        <v>55.6</v>
      </c>
      <c r="G237">
        <v>55.8</v>
      </c>
      <c r="H237">
        <v>56.75</v>
      </c>
      <c r="I237">
        <v>592592</v>
      </c>
      <c r="J237">
        <v>32393173.449999999</v>
      </c>
      <c r="K237" s="13">
        <v>43994</v>
      </c>
      <c r="L237">
        <v>3978</v>
      </c>
      <c r="M237" t="s">
        <v>503</v>
      </c>
    </row>
    <row r="238" spans="1:13" x14ac:dyDescent="0.35">
      <c r="A238" t="s">
        <v>3426</v>
      </c>
      <c r="B238" t="s">
        <v>3381</v>
      </c>
      <c r="C238">
        <v>1.8</v>
      </c>
      <c r="D238">
        <v>1.8</v>
      </c>
      <c r="E238">
        <v>1.8</v>
      </c>
      <c r="F238">
        <v>1.8</v>
      </c>
      <c r="G238">
        <v>1.8</v>
      </c>
      <c r="H238">
        <v>1.85</v>
      </c>
      <c r="I238">
        <v>20000</v>
      </c>
      <c r="J238">
        <v>36000</v>
      </c>
      <c r="K238" s="13">
        <v>43994</v>
      </c>
      <c r="L238">
        <v>1</v>
      </c>
      <c r="M238" t="s">
        <v>3427</v>
      </c>
    </row>
    <row r="239" spans="1:13" x14ac:dyDescent="0.35">
      <c r="A239" t="s">
        <v>504</v>
      </c>
      <c r="B239" t="s">
        <v>18</v>
      </c>
      <c r="C239">
        <v>59.85</v>
      </c>
      <c r="D239">
        <v>64.3</v>
      </c>
      <c r="E239">
        <v>59.75</v>
      </c>
      <c r="F239">
        <v>63.35</v>
      </c>
      <c r="G239">
        <v>62.9</v>
      </c>
      <c r="H239">
        <v>63.55</v>
      </c>
      <c r="I239">
        <v>1667592</v>
      </c>
      <c r="J239">
        <v>103880885.7</v>
      </c>
      <c r="K239" s="13">
        <v>43994</v>
      </c>
      <c r="L239">
        <v>10554</v>
      </c>
      <c r="M239" t="s">
        <v>505</v>
      </c>
    </row>
    <row r="240" spans="1:13" x14ac:dyDescent="0.35">
      <c r="A240" t="s">
        <v>506</v>
      </c>
      <c r="B240" t="s">
        <v>18</v>
      </c>
      <c r="C240">
        <v>79.099999999999994</v>
      </c>
      <c r="D240">
        <v>87.4</v>
      </c>
      <c r="E240">
        <v>79.099999999999994</v>
      </c>
      <c r="F240">
        <v>87.3</v>
      </c>
      <c r="G240">
        <v>87.4</v>
      </c>
      <c r="H240">
        <v>83.25</v>
      </c>
      <c r="I240">
        <v>1325621</v>
      </c>
      <c r="J240">
        <v>109906288.90000001</v>
      </c>
      <c r="K240" s="13">
        <v>43994</v>
      </c>
      <c r="L240">
        <v>10895</v>
      </c>
      <c r="M240" t="s">
        <v>507</v>
      </c>
    </row>
    <row r="241" spans="1:13" x14ac:dyDescent="0.35">
      <c r="A241" t="s">
        <v>508</v>
      </c>
      <c r="B241" t="s">
        <v>18</v>
      </c>
      <c r="C241">
        <v>10200</v>
      </c>
      <c r="D241">
        <v>10969</v>
      </c>
      <c r="E241">
        <v>10200</v>
      </c>
      <c r="F241">
        <v>10913.35</v>
      </c>
      <c r="G241">
        <v>10889.5</v>
      </c>
      <c r="H241">
        <v>10783</v>
      </c>
      <c r="I241">
        <v>34859</v>
      </c>
      <c r="J241">
        <v>371379635.80000001</v>
      </c>
      <c r="K241" s="13">
        <v>43994</v>
      </c>
      <c r="L241">
        <v>9053</v>
      </c>
      <c r="M241" t="s">
        <v>509</v>
      </c>
    </row>
    <row r="242" spans="1:13" x14ac:dyDescent="0.35">
      <c r="A242" t="s">
        <v>510</v>
      </c>
      <c r="B242" t="s">
        <v>18</v>
      </c>
      <c r="C242">
        <v>355.25</v>
      </c>
      <c r="D242">
        <v>376.9</v>
      </c>
      <c r="E242">
        <v>355.25</v>
      </c>
      <c r="F242">
        <v>373.9</v>
      </c>
      <c r="G242">
        <v>373.4</v>
      </c>
      <c r="H242">
        <v>370.05</v>
      </c>
      <c r="I242">
        <v>7819097</v>
      </c>
      <c r="J242">
        <v>2908558761.75</v>
      </c>
      <c r="K242" s="13">
        <v>43994</v>
      </c>
      <c r="L242">
        <v>106497</v>
      </c>
      <c r="M242" t="s">
        <v>511</v>
      </c>
    </row>
    <row r="243" spans="1:13" x14ac:dyDescent="0.35">
      <c r="A243" t="s">
        <v>512</v>
      </c>
      <c r="B243" t="s">
        <v>18</v>
      </c>
      <c r="C243">
        <v>15.5</v>
      </c>
      <c r="D243">
        <v>16.5</v>
      </c>
      <c r="E243">
        <v>15.1</v>
      </c>
      <c r="F243">
        <v>16</v>
      </c>
      <c r="G243">
        <v>16.45</v>
      </c>
      <c r="H243">
        <v>16.3</v>
      </c>
      <c r="I243">
        <v>65294</v>
      </c>
      <c r="J243">
        <v>1021751.85</v>
      </c>
      <c r="K243" s="13">
        <v>43994</v>
      </c>
      <c r="L243">
        <v>418</v>
      </c>
      <c r="M243" t="s">
        <v>513</v>
      </c>
    </row>
    <row r="244" spans="1:13" x14ac:dyDescent="0.35">
      <c r="A244" t="s">
        <v>514</v>
      </c>
      <c r="B244" t="s">
        <v>18</v>
      </c>
      <c r="C244">
        <v>5.05</v>
      </c>
      <c r="D244">
        <v>5.05</v>
      </c>
      <c r="E244">
        <v>4.8</v>
      </c>
      <c r="F244">
        <v>5</v>
      </c>
      <c r="G244">
        <v>5</v>
      </c>
      <c r="H244">
        <v>5.0999999999999996</v>
      </c>
      <c r="I244">
        <v>101413</v>
      </c>
      <c r="J244">
        <v>501669.2</v>
      </c>
      <c r="K244" s="13">
        <v>43994</v>
      </c>
      <c r="L244">
        <v>226</v>
      </c>
      <c r="M244" t="s">
        <v>515</v>
      </c>
    </row>
    <row r="245" spans="1:13" x14ac:dyDescent="0.35">
      <c r="A245" t="s">
        <v>516</v>
      </c>
      <c r="B245" t="s">
        <v>18</v>
      </c>
      <c r="C245">
        <v>120</v>
      </c>
      <c r="D245">
        <v>132.19999999999999</v>
      </c>
      <c r="E245">
        <v>106.1</v>
      </c>
      <c r="F245">
        <v>129.30000000000001</v>
      </c>
      <c r="G245">
        <v>128.55000000000001</v>
      </c>
      <c r="H245">
        <v>129.44999999999999</v>
      </c>
      <c r="I245">
        <v>165188</v>
      </c>
      <c r="J245">
        <v>20314005.399999999</v>
      </c>
      <c r="K245" s="13">
        <v>43994</v>
      </c>
      <c r="L245">
        <v>3842</v>
      </c>
      <c r="M245" t="s">
        <v>517</v>
      </c>
    </row>
    <row r="246" spans="1:13" x14ac:dyDescent="0.35">
      <c r="A246" t="s">
        <v>3428</v>
      </c>
      <c r="B246" t="s">
        <v>3381</v>
      </c>
      <c r="C246">
        <v>8.25</v>
      </c>
      <c r="D246">
        <v>8.25</v>
      </c>
      <c r="E246">
        <v>8.25</v>
      </c>
      <c r="F246">
        <v>8.25</v>
      </c>
      <c r="G246">
        <v>8.25</v>
      </c>
      <c r="H246">
        <v>7.9</v>
      </c>
      <c r="I246">
        <v>3000</v>
      </c>
      <c r="J246">
        <v>24750</v>
      </c>
      <c r="K246" s="13">
        <v>43994</v>
      </c>
      <c r="L246">
        <v>1</v>
      </c>
      <c r="M246" t="s">
        <v>3429</v>
      </c>
    </row>
    <row r="247" spans="1:13" x14ac:dyDescent="0.35">
      <c r="A247" t="s">
        <v>518</v>
      </c>
      <c r="B247" t="s">
        <v>18</v>
      </c>
      <c r="C247">
        <v>3333</v>
      </c>
      <c r="D247">
        <v>3443</v>
      </c>
      <c r="E247">
        <v>3305.75</v>
      </c>
      <c r="F247">
        <v>3366.05</v>
      </c>
      <c r="G247">
        <v>3354</v>
      </c>
      <c r="H247">
        <v>3370.35</v>
      </c>
      <c r="I247">
        <v>1373475</v>
      </c>
      <c r="J247">
        <v>4637886406.0500002</v>
      </c>
      <c r="K247" s="13">
        <v>43994</v>
      </c>
      <c r="L247">
        <v>75192</v>
      </c>
      <c r="M247" t="s">
        <v>519</v>
      </c>
    </row>
    <row r="248" spans="1:13" x14ac:dyDescent="0.35">
      <c r="A248" t="s">
        <v>518</v>
      </c>
      <c r="B248" t="s">
        <v>3430</v>
      </c>
      <c r="C248">
        <v>32.5</v>
      </c>
      <c r="D248">
        <v>32.94</v>
      </c>
      <c r="E248">
        <v>32.5</v>
      </c>
      <c r="F248">
        <v>32.65</v>
      </c>
      <c r="G248">
        <v>32.65</v>
      </c>
      <c r="H248">
        <v>32.94</v>
      </c>
      <c r="I248">
        <v>33731</v>
      </c>
      <c r="J248">
        <v>1100063.9099999999</v>
      </c>
      <c r="K248" s="13">
        <v>43994</v>
      </c>
      <c r="L248">
        <v>124</v>
      </c>
      <c r="M248" t="s">
        <v>3431</v>
      </c>
    </row>
    <row r="249" spans="1:13" x14ac:dyDescent="0.35">
      <c r="A249" t="s">
        <v>520</v>
      </c>
      <c r="B249" t="s">
        <v>18</v>
      </c>
      <c r="C249">
        <v>38.25</v>
      </c>
      <c r="D249">
        <v>38.25</v>
      </c>
      <c r="E249">
        <v>35.6</v>
      </c>
      <c r="F249">
        <v>37.700000000000003</v>
      </c>
      <c r="G249">
        <v>37.799999999999997</v>
      </c>
      <c r="H249">
        <v>37.6</v>
      </c>
      <c r="I249">
        <v>10199</v>
      </c>
      <c r="J249">
        <v>377715.1</v>
      </c>
      <c r="K249" s="13">
        <v>43994</v>
      </c>
      <c r="L249">
        <v>186</v>
      </c>
      <c r="M249" t="s">
        <v>521</v>
      </c>
    </row>
    <row r="250" spans="1:13" x14ac:dyDescent="0.35">
      <c r="A250" t="s">
        <v>3432</v>
      </c>
      <c r="B250" t="s">
        <v>3391</v>
      </c>
      <c r="C250">
        <v>30.4</v>
      </c>
      <c r="D250">
        <v>31.95</v>
      </c>
      <c r="E250">
        <v>30.4</v>
      </c>
      <c r="F250">
        <v>31.35</v>
      </c>
      <c r="G250">
        <v>31.95</v>
      </c>
      <c r="H250">
        <v>32</v>
      </c>
      <c r="I250">
        <v>14239</v>
      </c>
      <c r="J250">
        <v>435112.3</v>
      </c>
      <c r="K250" s="13">
        <v>43994</v>
      </c>
      <c r="L250">
        <v>148</v>
      </c>
      <c r="M250" t="s">
        <v>3433</v>
      </c>
    </row>
    <row r="251" spans="1:13" x14ac:dyDescent="0.35">
      <c r="A251" t="s">
        <v>522</v>
      </c>
      <c r="B251" t="s">
        <v>18</v>
      </c>
      <c r="C251">
        <v>385</v>
      </c>
      <c r="D251">
        <v>394</v>
      </c>
      <c r="E251">
        <v>381.55</v>
      </c>
      <c r="F251">
        <v>390.15</v>
      </c>
      <c r="G251">
        <v>392.15</v>
      </c>
      <c r="H251">
        <v>394.05</v>
      </c>
      <c r="I251">
        <v>107215</v>
      </c>
      <c r="J251">
        <v>41521595.25</v>
      </c>
      <c r="K251" s="13">
        <v>43994</v>
      </c>
      <c r="L251">
        <v>3705</v>
      </c>
      <c r="M251" t="s">
        <v>523</v>
      </c>
    </row>
    <row r="252" spans="1:13" x14ac:dyDescent="0.35">
      <c r="A252" t="s">
        <v>524</v>
      </c>
      <c r="B252" t="s">
        <v>18</v>
      </c>
      <c r="C252">
        <v>1.1000000000000001</v>
      </c>
      <c r="D252">
        <v>1.1000000000000001</v>
      </c>
      <c r="E252">
        <v>1.05</v>
      </c>
      <c r="F252">
        <v>1.05</v>
      </c>
      <c r="G252">
        <v>1.05</v>
      </c>
      <c r="H252">
        <v>1.1000000000000001</v>
      </c>
      <c r="I252">
        <v>24900</v>
      </c>
      <c r="J252">
        <v>26170</v>
      </c>
      <c r="K252" s="13">
        <v>43994</v>
      </c>
      <c r="L252">
        <v>15</v>
      </c>
      <c r="M252" t="s">
        <v>525</v>
      </c>
    </row>
    <row r="253" spans="1:13" x14ac:dyDescent="0.35">
      <c r="A253" t="s">
        <v>3434</v>
      </c>
      <c r="B253" t="s">
        <v>3381</v>
      </c>
      <c r="C253">
        <v>108.5</v>
      </c>
      <c r="D253">
        <v>108.5</v>
      </c>
      <c r="E253">
        <v>108.5</v>
      </c>
      <c r="F253">
        <v>108.5</v>
      </c>
      <c r="G253">
        <v>108.5</v>
      </c>
      <c r="H253">
        <v>109</v>
      </c>
      <c r="I253">
        <v>1200</v>
      </c>
      <c r="J253">
        <v>130200</v>
      </c>
      <c r="K253" s="13">
        <v>43994</v>
      </c>
      <c r="L253">
        <v>1</v>
      </c>
      <c r="M253" t="s">
        <v>3435</v>
      </c>
    </row>
    <row r="254" spans="1:13" x14ac:dyDescent="0.35">
      <c r="A254" t="s">
        <v>526</v>
      </c>
      <c r="B254" t="s">
        <v>18</v>
      </c>
      <c r="C254">
        <v>23</v>
      </c>
      <c r="D254">
        <v>25.95</v>
      </c>
      <c r="E254">
        <v>22.15</v>
      </c>
      <c r="F254">
        <v>23.9</v>
      </c>
      <c r="G254">
        <v>24</v>
      </c>
      <c r="H254">
        <v>24.05</v>
      </c>
      <c r="I254">
        <v>8754</v>
      </c>
      <c r="J254">
        <v>203515.5</v>
      </c>
      <c r="K254" s="13">
        <v>43994</v>
      </c>
      <c r="L254">
        <v>125</v>
      </c>
      <c r="M254" t="s">
        <v>527</v>
      </c>
    </row>
    <row r="255" spans="1:13" x14ac:dyDescent="0.35">
      <c r="A255" t="s">
        <v>528</v>
      </c>
      <c r="B255" t="s">
        <v>18</v>
      </c>
      <c r="C255">
        <v>4352.95</v>
      </c>
      <c r="D255">
        <v>4415</v>
      </c>
      <c r="E255">
        <v>4306</v>
      </c>
      <c r="F255">
        <v>4366.25</v>
      </c>
      <c r="G255">
        <v>4380</v>
      </c>
      <c r="H255">
        <v>4352.95</v>
      </c>
      <c r="I255">
        <v>334</v>
      </c>
      <c r="J255">
        <v>1460010</v>
      </c>
      <c r="K255" s="13">
        <v>43994</v>
      </c>
      <c r="L255">
        <v>80</v>
      </c>
      <c r="M255" t="s">
        <v>529</v>
      </c>
    </row>
    <row r="256" spans="1:13" x14ac:dyDescent="0.35">
      <c r="A256" t="s">
        <v>530</v>
      </c>
      <c r="B256" t="s">
        <v>18</v>
      </c>
      <c r="C256">
        <v>108.51</v>
      </c>
      <c r="D256">
        <v>109.99</v>
      </c>
      <c r="E256">
        <v>106.52</v>
      </c>
      <c r="F256">
        <v>106.99</v>
      </c>
      <c r="G256">
        <v>106.54</v>
      </c>
      <c r="H256">
        <v>112.77</v>
      </c>
      <c r="I256">
        <v>1797</v>
      </c>
      <c r="J256">
        <v>192454.82</v>
      </c>
      <c r="K256" s="13">
        <v>43994</v>
      </c>
      <c r="L256">
        <v>44</v>
      </c>
      <c r="M256" t="s">
        <v>531</v>
      </c>
    </row>
    <row r="257" spans="1:13" x14ac:dyDescent="0.35">
      <c r="A257" t="s">
        <v>532</v>
      </c>
      <c r="B257" t="s">
        <v>18</v>
      </c>
      <c r="C257">
        <v>78</v>
      </c>
      <c r="D257">
        <v>81.45</v>
      </c>
      <c r="E257">
        <v>77.349999999999994</v>
      </c>
      <c r="F257">
        <v>80.45</v>
      </c>
      <c r="G257">
        <v>79.95</v>
      </c>
      <c r="H257">
        <v>81.349999999999994</v>
      </c>
      <c r="I257">
        <v>779936</v>
      </c>
      <c r="J257">
        <v>62075825.450000003</v>
      </c>
      <c r="K257" s="13">
        <v>43994</v>
      </c>
      <c r="L257">
        <v>10939</v>
      </c>
      <c r="M257" t="s">
        <v>533</v>
      </c>
    </row>
    <row r="258" spans="1:13" x14ac:dyDescent="0.35">
      <c r="A258" t="s">
        <v>534</v>
      </c>
      <c r="B258" t="s">
        <v>18</v>
      </c>
      <c r="C258">
        <v>1.4</v>
      </c>
      <c r="D258">
        <v>1.45</v>
      </c>
      <c r="E258">
        <v>1.4</v>
      </c>
      <c r="F258">
        <v>1.45</v>
      </c>
      <c r="G258">
        <v>1.45</v>
      </c>
      <c r="H258">
        <v>1.4</v>
      </c>
      <c r="I258">
        <v>89483</v>
      </c>
      <c r="J258">
        <v>127588.1</v>
      </c>
      <c r="K258" s="13">
        <v>43994</v>
      </c>
      <c r="L258">
        <v>47</v>
      </c>
      <c r="M258" t="s">
        <v>535</v>
      </c>
    </row>
    <row r="259" spans="1:13" x14ac:dyDescent="0.35">
      <c r="A259" t="s">
        <v>536</v>
      </c>
      <c r="B259" t="s">
        <v>18</v>
      </c>
      <c r="C259">
        <v>128.1</v>
      </c>
      <c r="D259">
        <v>130.80000000000001</v>
      </c>
      <c r="E259">
        <v>118.3</v>
      </c>
      <c r="F259">
        <v>126.6</v>
      </c>
      <c r="G259">
        <v>126</v>
      </c>
      <c r="H259">
        <v>133.44999999999999</v>
      </c>
      <c r="I259">
        <v>342922</v>
      </c>
      <c r="J259">
        <v>43305318.549999997</v>
      </c>
      <c r="K259" s="13">
        <v>43994</v>
      </c>
      <c r="L259">
        <v>5751</v>
      </c>
      <c r="M259" t="s">
        <v>537</v>
      </c>
    </row>
    <row r="260" spans="1:13" x14ac:dyDescent="0.35">
      <c r="A260" t="s">
        <v>3436</v>
      </c>
      <c r="B260" t="s">
        <v>3391</v>
      </c>
      <c r="C260">
        <v>12.85</v>
      </c>
      <c r="D260">
        <v>12.9</v>
      </c>
      <c r="E260">
        <v>12.5</v>
      </c>
      <c r="F260">
        <v>12.5</v>
      </c>
      <c r="G260">
        <v>12.5</v>
      </c>
      <c r="H260">
        <v>13.15</v>
      </c>
      <c r="I260">
        <v>816</v>
      </c>
      <c r="J260">
        <v>10227.9</v>
      </c>
      <c r="K260" s="13">
        <v>43994</v>
      </c>
      <c r="L260">
        <v>15</v>
      </c>
      <c r="M260" t="s">
        <v>3437</v>
      </c>
    </row>
    <row r="261" spans="1:13" x14ac:dyDescent="0.35">
      <c r="A261" t="s">
        <v>538</v>
      </c>
      <c r="B261" t="s">
        <v>18</v>
      </c>
      <c r="C261">
        <v>10.7</v>
      </c>
      <c r="D261">
        <v>11.35</v>
      </c>
      <c r="E261">
        <v>10.45</v>
      </c>
      <c r="F261">
        <v>11.1</v>
      </c>
      <c r="G261">
        <v>11.2</v>
      </c>
      <c r="H261">
        <v>11.2</v>
      </c>
      <c r="I261">
        <v>41422</v>
      </c>
      <c r="J261">
        <v>445516.05</v>
      </c>
      <c r="K261" s="13">
        <v>43994</v>
      </c>
      <c r="L261">
        <v>196</v>
      </c>
      <c r="M261" t="s">
        <v>539</v>
      </c>
    </row>
    <row r="262" spans="1:13" x14ac:dyDescent="0.35">
      <c r="A262" t="s">
        <v>540</v>
      </c>
      <c r="B262" t="s">
        <v>18</v>
      </c>
      <c r="C262">
        <v>361.95</v>
      </c>
      <c r="D262">
        <v>376.4</v>
      </c>
      <c r="E262">
        <v>359.7</v>
      </c>
      <c r="F262">
        <v>374.3</v>
      </c>
      <c r="G262">
        <v>375.5</v>
      </c>
      <c r="H262">
        <v>369.5</v>
      </c>
      <c r="I262">
        <v>4644285</v>
      </c>
      <c r="J262">
        <v>1710746731.95</v>
      </c>
      <c r="K262" s="13">
        <v>43994</v>
      </c>
      <c r="L262">
        <v>50435</v>
      </c>
      <c r="M262" t="s">
        <v>541</v>
      </c>
    </row>
    <row r="263" spans="1:13" x14ac:dyDescent="0.35">
      <c r="A263" t="s">
        <v>3438</v>
      </c>
      <c r="B263" t="s">
        <v>3381</v>
      </c>
      <c r="C263">
        <v>20.5</v>
      </c>
      <c r="D263">
        <v>20.5</v>
      </c>
      <c r="E263">
        <v>20.5</v>
      </c>
      <c r="F263">
        <v>20.5</v>
      </c>
      <c r="G263">
        <v>20.5</v>
      </c>
      <c r="H263">
        <v>20.3</v>
      </c>
      <c r="I263">
        <v>2000</v>
      </c>
      <c r="J263">
        <v>41000</v>
      </c>
      <c r="K263" s="13">
        <v>43994</v>
      </c>
      <c r="L263">
        <v>1</v>
      </c>
      <c r="M263" t="s">
        <v>3439</v>
      </c>
    </row>
    <row r="264" spans="1:13" x14ac:dyDescent="0.35">
      <c r="A264" t="s">
        <v>542</v>
      </c>
      <c r="B264" t="s">
        <v>18</v>
      </c>
      <c r="C264">
        <v>8.5500000000000007</v>
      </c>
      <c r="D264">
        <v>9.8000000000000007</v>
      </c>
      <c r="E264">
        <v>8.5500000000000007</v>
      </c>
      <c r="F264">
        <v>9.5500000000000007</v>
      </c>
      <c r="G264">
        <v>9.6999999999999993</v>
      </c>
      <c r="H264">
        <v>9.3000000000000007</v>
      </c>
      <c r="I264">
        <v>30026</v>
      </c>
      <c r="J264">
        <v>280754.09999999998</v>
      </c>
      <c r="K264" s="13">
        <v>43994</v>
      </c>
      <c r="L264">
        <v>136</v>
      </c>
      <c r="M264" t="s">
        <v>543</v>
      </c>
    </row>
    <row r="265" spans="1:13" x14ac:dyDescent="0.35">
      <c r="A265" t="s">
        <v>544</v>
      </c>
      <c r="B265" t="s">
        <v>18</v>
      </c>
      <c r="C265">
        <v>38</v>
      </c>
      <c r="D265">
        <v>41.8</v>
      </c>
      <c r="E265">
        <v>38</v>
      </c>
      <c r="F265">
        <v>41.45</v>
      </c>
      <c r="G265">
        <v>41.55</v>
      </c>
      <c r="H265">
        <v>42.05</v>
      </c>
      <c r="I265">
        <v>269281</v>
      </c>
      <c r="J265">
        <v>10855899.949999999</v>
      </c>
      <c r="K265" s="13">
        <v>43994</v>
      </c>
      <c r="L265">
        <v>3468</v>
      </c>
      <c r="M265" t="s">
        <v>545</v>
      </c>
    </row>
    <row r="266" spans="1:13" x14ac:dyDescent="0.35">
      <c r="A266" t="s">
        <v>546</v>
      </c>
      <c r="B266" t="s">
        <v>18</v>
      </c>
      <c r="C266">
        <v>94.5</v>
      </c>
      <c r="D266">
        <v>104.6</v>
      </c>
      <c r="E266">
        <v>94.5</v>
      </c>
      <c r="F266">
        <v>103.75</v>
      </c>
      <c r="G266">
        <v>103.3</v>
      </c>
      <c r="H266">
        <v>101</v>
      </c>
      <c r="I266">
        <v>22978290</v>
      </c>
      <c r="J266">
        <v>2292418776.8499999</v>
      </c>
      <c r="K266" s="13">
        <v>43994</v>
      </c>
      <c r="L266">
        <v>82537</v>
      </c>
      <c r="M266" t="s">
        <v>547</v>
      </c>
    </row>
    <row r="267" spans="1:13" x14ac:dyDescent="0.35">
      <c r="A267" t="s">
        <v>3440</v>
      </c>
      <c r="B267" t="s">
        <v>3414</v>
      </c>
      <c r="C267">
        <v>3.8</v>
      </c>
      <c r="D267">
        <v>3.95</v>
      </c>
      <c r="E267">
        <v>3.8</v>
      </c>
      <c r="F267">
        <v>3.95</v>
      </c>
      <c r="G267">
        <v>3.95</v>
      </c>
      <c r="H267">
        <v>3.8</v>
      </c>
      <c r="I267">
        <v>28250</v>
      </c>
      <c r="J267">
        <v>110550</v>
      </c>
      <c r="K267" s="13">
        <v>43994</v>
      </c>
      <c r="L267">
        <v>24</v>
      </c>
      <c r="M267" t="s">
        <v>3441</v>
      </c>
    </row>
    <row r="268" spans="1:13" x14ac:dyDescent="0.35">
      <c r="A268" t="s">
        <v>548</v>
      </c>
      <c r="B268" t="s">
        <v>18</v>
      </c>
      <c r="C268">
        <v>299.2</v>
      </c>
      <c r="D268">
        <v>314.5</v>
      </c>
      <c r="E268">
        <v>297.60000000000002</v>
      </c>
      <c r="F268">
        <v>311.2</v>
      </c>
      <c r="G268">
        <v>312.3</v>
      </c>
      <c r="H268">
        <v>311.35000000000002</v>
      </c>
      <c r="I268">
        <v>316164</v>
      </c>
      <c r="J268">
        <v>96902850.450000003</v>
      </c>
      <c r="K268" s="13">
        <v>43994</v>
      </c>
      <c r="L268">
        <v>7105</v>
      </c>
      <c r="M268" t="s">
        <v>549</v>
      </c>
    </row>
    <row r="269" spans="1:13" x14ac:dyDescent="0.35">
      <c r="A269" t="s">
        <v>550</v>
      </c>
      <c r="B269" t="s">
        <v>18</v>
      </c>
      <c r="C269">
        <v>222</v>
      </c>
      <c r="D269">
        <v>240</v>
      </c>
      <c r="E269">
        <v>222</v>
      </c>
      <c r="F269">
        <v>234.8</v>
      </c>
      <c r="G269">
        <v>240</v>
      </c>
      <c r="H269">
        <v>238</v>
      </c>
      <c r="I269">
        <v>58939</v>
      </c>
      <c r="J269">
        <v>13645697.550000001</v>
      </c>
      <c r="K269" s="13">
        <v>43994</v>
      </c>
      <c r="L269">
        <v>1181</v>
      </c>
      <c r="M269" t="s">
        <v>551</v>
      </c>
    </row>
    <row r="270" spans="1:13" x14ac:dyDescent="0.35">
      <c r="A270" t="s">
        <v>552</v>
      </c>
      <c r="B270" t="s">
        <v>18</v>
      </c>
      <c r="C270">
        <v>90</v>
      </c>
      <c r="D270">
        <v>108</v>
      </c>
      <c r="E270">
        <v>88.75</v>
      </c>
      <c r="F270">
        <v>105.85</v>
      </c>
      <c r="G270">
        <v>106</v>
      </c>
      <c r="H270">
        <v>99.85</v>
      </c>
      <c r="I270">
        <v>99010</v>
      </c>
      <c r="J270">
        <v>9863190.0500000007</v>
      </c>
      <c r="K270" s="13">
        <v>43994</v>
      </c>
      <c r="L270">
        <v>3435</v>
      </c>
      <c r="M270" t="s">
        <v>553</v>
      </c>
    </row>
    <row r="271" spans="1:13" x14ac:dyDescent="0.35">
      <c r="A271" t="s">
        <v>554</v>
      </c>
      <c r="B271" t="s">
        <v>18</v>
      </c>
      <c r="C271">
        <v>340</v>
      </c>
      <c r="D271">
        <v>389.45</v>
      </c>
      <c r="E271">
        <v>333.5</v>
      </c>
      <c r="F271">
        <v>377.3</v>
      </c>
      <c r="G271">
        <v>373.1</v>
      </c>
      <c r="H271">
        <v>351.3</v>
      </c>
      <c r="I271">
        <v>1293866</v>
      </c>
      <c r="J271">
        <v>484142421.55000001</v>
      </c>
      <c r="K271" s="13">
        <v>43994</v>
      </c>
      <c r="L271">
        <v>32358</v>
      </c>
      <c r="M271" t="s">
        <v>555</v>
      </c>
    </row>
    <row r="272" spans="1:13" x14ac:dyDescent="0.35">
      <c r="A272" t="s">
        <v>556</v>
      </c>
      <c r="B272" t="s">
        <v>18</v>
      </c>
      <c r="C272">
        <v>74</v>
      </c>
      <c r="D272">
        <v>74.8</v>
      </c>
      <c r="E272">
        <v>74</v>
      </c>
      <c r="F272">
        <v>74.8</v>
      </c>
      <c r="G272">
        <v>74.8</v>
      </c>
      <c r="H272">
        <v>71.25</v>
      </c>
      <c r="I272">
        <v>4345</v>
      </c>
      <c r="J272">
        <v>323795.3</v>
      </c>
      <c r="K272" s="13">
        <v>43994</v>
      </c>
      <c r="L272">
        <v>89</v>
      </c>
      <c r="M272" t="s">
        <v>557</v>
      </c>
    </row>
    <row r="273" spans="1:13" x14ac:dyDescent="0.35">
      <c r="A273" t="s">
        <v>558</v>
      </c>
      <c r="B273" t="s">
        <v>18</v>
      </c>
      <c r="C273">
        <v>243.65</v>
      </c>
      <c r="D273">
        <v>247.95</v>
      </c>
      <c r="E273">
        <v>233.9</v>
      </c>
      <c r="F273">
        <v>246.95</v>
      </c>
      <c r="G273">
        <v>247.5</v>
      </c>
      <c r="H273">
        <v>246.35</v>
      </c>
      <c r="I273">
        <v>30411</v>
      </c>
      <c r="J273">
        <v>7391062.5</v>
      </c>
      <c r="K273" s="13">
        <v>43994</v>
      </c>
      <c r="L273">
        <v>1302</v>
      </c>
      <c r="M273" t="s">
        <v>559</v>
      </c>
    </row>
    <row r="274" spans="1:13" x14ac:dyDescent="0.35">
      <c r="A274" t="s">
        <v>560</v>
      </c>
      <c r="B274" t="s">
        <v>18</v>
      </c>
      <c r="C274">
        <v>150.1</v>
      </c>
      <c r="D274">
        <v>151.85</v>
      </c>
      <c r="E274">
        <v>143.94999999999999</v>
      </c>
      <c r="F274">
        <v>149.65</v>
      </c>
      <c r="G274">
        <v>148.80000000000001</v>
      </c>
      <c r="H274">
        <v>152.44999999999999</v>
      </c>
      <c r="I274">
        <v>54960</v>
      </c>
      <c r="J274">
        <v>8192347</v>
      </c>
      <c r="K274" s="13">
        <v>43994</v>
      </c>
      <c r="L274">
        <v>785</v>
      </c>
      <c r="M274" t="s">
        <v>561</v>
      </c>
    </row>
    <row r="275" spans="1:13" x14ac:dyDescent="0.35">
      <c r="A275" t="s">
        <v>562</v>
      </c>
      <c r="B275" t="s">
        <v>18</v>
      </c>
      <c r="C275">
        <v>394</v>
      </c>
      <c r="D275">
        <v>402.95</v>
      </c>
      <c r="E275">
        <v>394</v>
      </c>
      <c r="F275">
        <v>400.25</v>
      </c>
      <c r="G275">
        <v>399</v>
      </c>
      <c r="H275">
        <v>404.05</v>
      </c>
      <c r="I275">
        <v>47791</v>
      </c>
      <c r="J275">
        <v>19016241.149999999</v>
      </c>
      <c r="K275" s="13">
        <v>43994</v>
      </c>
      <c r="L275">
        <v>2980</v>
      </c>
      <c r="M275" t="s">
        <v>563</v>
      </c>
    </row>
    <row r="276" spans="1:13" x14ac:dyDescent="0.35">
      <c r="A276" t="s">
        <v>564</v>
      </c>
      <c r="B276" t="s">
        <v>18</v>
      </c>
      <c r="C276">
        <v>0.65</v>
      </c>
      <c r="D276">
        <v>0.65</v>
      </c>
      <c r="E276">
        <v>0.6</v>
      </c>
      <c r="F276">
        <v>0.65</v>
      </c>
      <c r="G276">
        <v>0.65</v>
      </c>
      <c r="H276">
        <v>0.6</v>
      </c>
      <c r="I276">
        <v>731809</v>
      </c>
      <c r="J276">
        <v>472263.45</v>
      </c>
      <c r="K276" s="13">
        <v>43994</v>
      </c>
      <c r="L276">
        <v>209</v>
      </c>
      <c r="M276" t="s">
        <v>565</v>
      </c>
    </row>
    <row r="277" spans="1:13" x14ac:dyDescent="0.35">
      <c r="A277" t="s">
        <v>566</v>
      </c>
      <c r="B277" t="s">
        <v>18</v>
      </c>
      <c r="C277">
        <v>121</v>
      </c>
      <c r="D277">
        <v>123.5</v>
      </c>
      <c r="E277">
        <v>120.1</v>
      </c>
      <c r="F277">
        <v>121.9</v>
      </c>
      <c r="G277">
        <v>123</v>
      </c>
      <c r="H277">
        <v>124.1</v>
      </c>
      <c r="I277">
        <v>559012</v>
      </c>
      <c r="J277">
        <v>68089186.700000003</v>
      </c>
      <c r="K277" s="13">
        <v>43994</v>
      </c>
      <c r="L277">
        <v>7837</v>
      </c>
      <c r="M277" t="s">
        <v>567</v>
      </c>
    </row>
    <row r="278" spans="1:13" x14ac:dyDescent="0.35">
      <c r="A278" t="s">
        <v>568</v>
      </c>
      <c r="B278" t="s">
        <v>18</v>
      </c>
      <c r="C278">
        <v>3.8</v>
      </c>
      <c r="D278">
        <v>3.8</v>
      </c>
      <c r="E278">
        <v>3.5</v>
      </c>
      <c r="F278">
        <v>3.8</v>
      </c>
      <c r="G278">
        <v>3.8</v>
      </c>
      <c r="H278">
        <v>3.65</v>
      </c>
      <c r="I278">
        <v>251490</v>
      </c>
      <c r="J278">
        <v>941168</v>
      </c>
      <c r="K278" s="13">
        <v>43994</v>
      </c>
      <c r="L278">
        <v>277</v>
      </c>
      <c r="M278" t="s">
        <v>569</v>
      </c>
    </row>
    <row r="279" spans="1:13" x14ac:dyDescent="0.35">
      <c r="A279" t="s">
        <v>570</v>
      </c>
      <c r="B279" t="s">
        <v>18</v>
      </c>
      <c r="C279">
        <v>218</v>
      </c>
      <c r="D279">
        <v>234.35</v>
      </c>
      <c r="E279">
        <v>217</v>
      </c>
      <c r="F279">
        <v>229.7</v>
      </c>
      <c r="G279">
        <v>228.5</v>
      </c>
      <c r="H279">
        <v>228.75</v>
      </c>
      <c r="I279">
        <v>117888</v>
      </c>
      <c r="J279">
        <v>26628293.649999999</v>
      </c>
      <c r="K279" s="13">
        <v>43994</v>
      </c>
      <c r="L279">
        <v>4081</v>
      </c>
      <c r="M279" t="s">
        <v>571</v>
      </c>
    </row>
    <row r="280" spans="1:13" x14ac:dyDescent="0.35">
      <c r="A280" t="s">
        <v>572</v>
      </c>
      <c r="B280" t="s">
        <v>18</v>
      </c>
      <c r="C280">
        <v>247.55</v>
      </c>
      <c r="D280">
        <v>259.7</v>
      </c>
      <c r="E280">
        <v>247.55</v>
      </c>
      <c r="F280">
        <v>258.64999999999998</v>
      </c>
      <c r="G280">
        <v>257.7</v>
      </c>
      <c r="H280">
        <v>256.05</v>
      </c>
      <c r="I280">
        <v>220868</v>
      </c>
      <c r="J280">
        <v>56457138.450000003</v>
      </c>
      <c r="K280" s="13">
        <v>43994</v>
      </c>
      <c r="L280">
        <v>5495</v>
      </c>
      <c r="M280" t="s">
        <v>573</v>
      </c>
    </row>
    <row r="281" spans="1:13" x14ac:dyDescent="0.35">
      <c r="A281" t="s">
        <v>574</v>
      </c>
      <c r="B281" t="s">
        <v>18</v>
      </c>
      <c r="C281">
        <v>900</v>
      </c>
      <c r="D281">
        <v>933.9</v>
      </c>
      <c r="E281">
        <v>900</v>
      </c>
      <c r="F281">
        <v>923.55</v>
      </c>
      <c r="G281">
        <v>918.75</v>
      </c>
      <c r="H281">
        <v>941</v>
      </c>
      <c r="I281">
        <v>68866</v>
      </c>
      <c r="J281">
        <v>63483883</v>
      </c>
      <c r="K281" s="13">
        <v>43994</v>
      </c>
      <c r="L281">
        <v>4574</v>
      </c>
      <c r="M281" t="s">
        <v>575</v>
      </c>
    </row>
    <row r="282" spans="1:13" x14ac:dyDescent="0.35">
      <c r="A282" t="s">
        <v>576</v>
      </c>
      <c r="B282" t="s">
        <v>18</v>
      </c>
      <c r="C282">
        <v>12.2</v>
      </c>
      <c r="D282">
        <v>12.45</v>
      </c>
      <c r="E282">
        <v>11.4</v>
      </c>
      <c r="F282">
        <v>12.25</v>
      </c>
      <c r="G282">
        <v>12.4</v>
      </c>
      <c r="H282">
        <v>12.25</v>
      </c>
      <c r="I282">
        <v>55812</v>
      </c>
      <c r="J282">
        <v>665729.65</v>
      </c>
      <c r="K282" s="13">
        <v>43994</v>
      </c>
      <c r="L282">
        <v>403</v>
      </c>
      <c r="M282" t="s">
        <v>577</v>
      </c>
    </row>
    <row r="283" spans="1:13" x14ac:dyDescent="0.35">
      <c r="A283" t="s">
        <v>578</v>
      </c>
      <c r="B283" t="s">
        <v>18</v>
      </c>
      <c r="C283">
        <v>5.35</v>
      </c>
      <c r="D283">
        <v>5.65</v>
      </c>
      <c r="E283">
        <v>5.35</v>
      </c>
      <c r="F283">
        <v>5.55</v>
      </c>
      <c r="G283">
        <v>5.6</v>
      </c>
      <c r="H283">
        <v>5.6</v>
      </c>
      <c r="I283">
        <v>16404</v>
      </c>
      <c r="J283">
        <v>90509.5</v>
      </c>
      <c r="K283" s="13">
        <v>43994</v>
      </c>
      <c r="L283">
        <v>70</v>
      </c>
      <c r="M283" t="s">
        <v>579</v>
      </c>
    </row>
    <row r="284" spans="1:13" x14ac:dyDescent="0.35">
      <c r="A284" t="s">
        <v>580</v>
      </c>
      <c r="B284" t="s">
        <v>18</v>
      </c>
      <c r="C284">
        <v>175.4</v>
      </c>
      <c r="D284">
        <v>180.7</v>
      </c>
      <c r="E284">
        <v>172.15</v>
      </c>
      <c r="F284">
        <v>178.15</v>
      </c>
      <c r="G284">
        <v>178.55</v>
      </c>
      <c r="H284">
        <v>183.35</v>
      </c>
      <c r="I284">
        <v>126101</v>
      </c>
      <c r="J284">
        <v>22421742.600000001</v>
      </c>
      <c r="K284" s="13">
        <v>43994</v>
      </c>
      <c r="L284">
        <v>3310</v>
      </c>
      <c r="M284" t="s">
        <v>581</v>
      </c>
    </row>
    <row r="285" spans="1:13" x14ac:dyDescent="0.35">
      <c r="A285" t="s">
        <v>582</v>
      </c>
      <c r="B285" t="s">
        <v>18</v>
      </c>
      <c r="C285">
        <v>2.8</v>
      </c>
      <c r="D285">
        <v>3.3</v>
      </c>
      <c r="E285">
        <v>2.8</v>
      </c>
      <c r="F285">
        <v>3.2</v>
      </c>
      <c r="G285">
        <v>3.15</v>
      </c>
      <c r="H285">
        <v>3.25</v>
      </c>
      <c r="I285">
        <v>246767</v>
      </c>
      <c r="J285">
        <v>753661.45</v>
      </c>
      <c r="K285" s="13">
        <v>43994</v>
      </c>
      <c r="L285">
        <v>273</v>
      </c>
      <c r="M285" t="s">
        <v>583</v>
      </c>
    </row>
    <row r="286" spans="1:13" x14ac:dyDescent="0.35">
      <c r="A286" t="s">
        <v>584</v>
      </c>
      <c r="B286" t="s">
        <v>18</v>
      </c>
      <c r="C286">
        <v>15.5</v>
      </c>
      <c r="D286">
        <v>16.25</v>
      </c>
      <c r="E286">
        <v>15.15</v>
      </c>
      <c r="F286">
        <v>16.149999999999999</v>
      </c>
      <c r="G286">
        <v>16.2</v>
      </c>
      <c r="H286">
        <v>16.25</v>
      </c>
      <c r="I286">
        <v>1199809</v>
      </c>
      <c r="J286">
        <v>19008186.699999999</v>
      </c>
      <c r="K286" s="13">
        <v>43994</v>
      </c>
      <c r="L286">
        <v>2832</v>
      </c>
      <c r="M286" t="s">
        <v>585</v>
      </c>
    </row>
    <row r="287" spans="1:13" x14ac:dyDescent="0.35">
      <c r="A287" t="s">
        <v>586</v>
      </c>
      <c r="B287" t="s">
        <v>18</v>
      </c>
      <c r="C287">
        <v>12.3</v>
      </c>
      <c r="D287">
        <v>13.45</v>
      </c>
      <c r="E287">
        <v>12.3</v>
      </c>
      <c r="F287">
        <v>12.95</v>
      </c>
      <c r="G287">
        <v>13</v>
      </c>
      <c r="H287">
        <v>13.65</v>
      </c>
      <c r="I287">
        <v>189977</v>
      </c>
      <c r="J287">
        <v>2428245.1</v>
      </c>
      <c r="K287" s="13">
        <v>43994</v>
      </c>
      <c r="L287">
        <v>407</v>
      </c>
      <c r="M287" t="s">
        <v>587</v>
      </c>
    </row>
    <row r="288" spans="1:13" x14ac:dyDescent="0.35">
      <c r="A288" t="s">
        <v>588</v>
      </c>
      <c r="B288" t="s">
        <v>18</v>
      </c>
      <c r="C288">
        <v>239</v>
      </c>
      <c r="D288">
        <v>251.5</v>
      </c>
      <c r="E288">
        <v>236.1</v>
      </c>
      <c r="F288">
        <v>247.45</v>
      </c>
      <c r="G288">
        <v>249</v>
      </c>
      <c r="H288">
        <v>249.7</v>
      </c>
      <c r="I288">
        <v>1473</v>
      </c>
      <c r="J288">
        <v>364499</v>
      </c>
      <c r="K288" s="13">
        <v>43994</v>
      </c>
      <c r="L288">
        <v>92</v>
      </c>
      <c r="M288" t="s">
        <v>589</v>
      </c>
    </row>
    <row r="289" spans="1:13" x14ac:dyDescent="0.35">
      <c r="A289" t="s">
        <v>590</v>
      </c>
      <c r="B289" t="s">
        <v>18</v>
      </c>
      <c r="C289">
        <v>102.6</v>
      </c>
      <c r="D289">
        <v>108.55</v>
      </c>
      <c r="E289">
        <v>102</v>
      </c>
      <c r="F289">
        <v>107.95</v>
      </c>
      <c r="G289">
        <v>107.85</v>
      </c>
      <c r="H289">
        <v>107.4</v>
      </c>
      <c r="I289">
        <v>270940</v>
      </c>
      <c r="J289">
        <v>28742713.199999999</v>
      </c>
      <c r="K289" s="13">
        <v>43994</v>
      </c>
      <c r="L289">
        <v>3281</v>
      </c>
      <c r="M289" t="s">
        <v>591</v>
      </c>
    </row>
    <row r="290" spans="1:13" x14ac:dyDescent="0.35">
      <c r="A290" t="s">
        <v>592</v>
      </c>
      <c r="B290" t="s">
        <v>18</v>
      </c>
      <c r="C290">
        <v>276</v>
      </c>
      <c r="D290">
        <v>300</v>
      </c>
      <c r="E290">
        <v>275.14999999999998</v>
      </c>
      <c r="F290">
        <v>299.2</v>
      </c>
      <c r="G290">
        <v>298.75</v>
      </c>
      <c r="H290">
        <v>293.39999999999998</v>
      </c>
      <c r="I290">
        <v>2349896</v>
      </c>
      <c r="J290">
        <v>682279710.39999998</v>
      </c>
      <c r="K290" s="13">
        <v>43994</v>
      </c>
      <c r="L290">
        <v>28077</v>
      </c>
      <c r="M290" t="s">
        <v>593</v>
      </c>
    </row>
    <row r="291" spans="1:13" x14ac:dyDescent="0.35">
      <c r="A291" t="s">
        <v>594</v>
      </c>
      <c r="B291" t="s">
        <v>18</v>
      </c>
      <c r="C291">
        <v>2201.25</v>
      </c>
      <c r="D291">
        <v>2258</v>
      </c>
      <c r="E291">
        <v>2166.0500000000002</v>
      </c>
      <c r="F291">
        <v>2180.35</v>
      </c>
      <c r="G291">
        <v>2180.0500000000002</v>
      </c>
      <c r="H291">
        <v>2259.9499999999998</v>
      </c>
      <c r="I291">
        <v>9191</v>
      </c>
      <c r="J291">
        <v>20243167.800000001</v>
      </c>
      <c r="K291" s="13">
        <v>43994</v>
      </c>
      <c r="L291">
        <v>1164</v>
      </c>
      <c r="M291" t="s">
        <v>595</v>
      </c>
    </row>
    <row r="292" spans="1:13" x14ac:dyDescent="0.35">
      <c r="A292" t="s">
        <v>596</v>
      </c>
      <c r="B292" t="s">
        <v>18</v>
      </c>
      <c r="C292">
        <v>27</v>
      </c>
      <c r="D292">
        <v>28.8</v>
      </c>
      <c r="E292">
        <v>26.3</v>
      </c>
      <c r="F292">
        <v>27.7</v>
      </c>
      <c r="G292">
        <v>28.55</v>
      </c>
      <c r="H292">
        <v>27.5</v>
      </c>
      <c r="I292">
        <v>48696</v>
      </c>
      <c r="J292">
        <v>1360874.95</v>
      </c>
      <c r="K292" s="13">
        <v>43994</v>
      </c>
      <c r="L292">
        <v>577</v>
      </c>
      <c r="M292" t="s">
        <v>597</v>
      </c>
    </row>
    <row r="293" spans="1:13" x14ac:dyDescent="0.35">
      <c r="A293" t="s">
        <v>598</v>
      </c>
      <c r="B293" t="s">
        <v>18</v>
      </c>
      <c r="C293">
        <v>605</v>
      </c>
      <c r="D293">
        <v>642</v>
      </c>
      <c r="E293">
        <v>591.1</v>
      </c>
      <c r="F293">
        <v>637.25</v>
      </c>
      <c r="G293">
        <v>636</v>
      </c>
      <c r="H293">
        <v>618.75</v>
      </c>
      <c r="I293">
        <v>392379</v>
      </c>
      <c r="J293">
        <v>241561354.25</v>
      </c>
      <c r="K293" s="13">
        <v>43994</v>
      </c>
      <c r="L293">
        <v>10298</v>
      </c>
      <c r="M293" t="s">
        <v>599</v>
      </c>
    </row>
    <row r="294" spans="1:13" x14ac:dyDescent="0.35">
      <c r="A294" t="s">
        <v>600</v>
      </c>
      <c r="B294" t="s">
        <v>18</v>
      </c>
      <c r="C294">
        <v>160.30000000000001</v>
      </c>
      <c r="D294">
        <v>172.05</v>
      </c>
      <c r="E294">
        <v>160.30000000000001</v>
      </c>
      <c r="F294">
        <v>168.5</v>
      </c>
      <c r="G294">
        <v>168</v>
      </c>
      <c r="H294">
        <v>174.8</v>
      </c>
      <c r="I294">
        <v>51309</v>
      </c>
      <c r="J294">
        <v>8571428.8000000007</v>
      </c>
      <c r="K294" s="13">
        <v>43994</v>
      </c>
      <c r="L294">
        <v>963</v>
      </c>
      <c r="M294" t="s">
        <v>601</v>
      </c>
    </row>
    <row r="295" spans="1:13" x14ac:dyDescent="0.35">
      <c r="A295" t="s">
        <v>602</v>
      </c>
      <c r="B295" t="s">
        <v>18</v>
      </c>
      <c r="C295">
        <v>124.8</v>
      </c>
      <c r="D295">
        <v>128.44999999999999</v>
      </c>
      <c r="E295">
        <v>122.25</v>
      </c>
      <c r="F295">
        <v>126.95</v>
      </c>
      <c r="G295">
        <v>126</v>
      </c>
      <c r="H295">
        <v>128.85</v>
      </c>
      <c r="I295">
        <v>119781</v>
      </c>
      <c r="J295">
        <v>15004437.65</v>
      </c>
      <c r="K295" s="13">
        <v>43994</v>
      </c>
      <c r="L295">
        <v>2766</v>
      </c>
      <c r="M295" t="s">
        <v>603</v>
      </c>
    </row>
    <row r="296" spans="1:13" x14ac:dyDescent="0.35">
      <c r="A296" t="s">
        <v>604</v>
      </c>
      <c r="B296" t="s">
        <v>18</v>
      </c>
      <c r="C296">
        <v>6.1</v>
      </c>
      <c r="D296">
        <v>6.55</v>
      </c>
      <c r="E296">
        <v>6</v>
      </c>
      <c r="F296">
        <v>6.5</v>
      </c>
      <c r="G296">
        <v>6.5</v>
      </c>
      <c r="H296">
        <v>6.25</v>
      </c>
      <c r="I296">
        <v>1487591</v>
      </c>
      <c r="J296">
        <v>9258157.4000000004</v>
      </c>
      <c r="K296" s="13">
        <v>43994</v>
      </c>
      <c r="L296">
        <v>1819</v>
      </c>
      <c r="M296" t="s">
        <v>605</v>
      </c>
    </row>
    <row r="297" spans="1:13" x14ac:dyDescent="0.35">
      <c r="A297" t="s">
        <v>606</v>
      </c>
      <c r="B297" t="s">
        <v>18</v>
      </c>
      <c r="C297">
        <v>128</v>
      </c>
      <c r="D297">
        <v>139</v>
      </c>
      <c r="E297">
        <v>127.4</v>
      </c>
      <c r="F297">
        <v>136.30000000000001</v>
      </c>
      <c r="G297">
        <v>137.94999999999999</v>
      </c>
      <c r="H297">
        <v>140.85</v>
      </c>
      <c r="I297">
        <v>608089</v>
      </c>
      <c r="J297">
        <v>80225704.650000006</v>
      </c>
      <c r="K297" s="13">
        <v>43994</v>
      </c>
      <c r="L297">
        <v>11057</v>
      </c>
      <c r="M297" t="s">
        <v>607</v>
      </c>
    </row>
    <row r="298" spans="1:13" x14ac:dyDescent="0.35">
      <c r="A298" t="s">
        <v>608</v>
      </c>
      <c r="B298" t="s">
        <v>18</v>
      </c>
      <c r="C298">
        <v>135.9</v>
      </c>
      <c r="D298">
        <v>136.5</v>
      </c>
      <c r="E298">
        <v>133.69999999999999</v>
      </c>
      <c r="F298">
        <v>135.69999999999999</v>
      </c>
      <c r="G298">
        <v>135.25</v>
      </c>
      <c r="H298">
        <v>137.69999999999999</v>
      </c>
      <c r="I298">
        <v>1030754</v>
      </c>
      <c r="J298">
        <v>139429946.05000001</v>
      </c>
      <c r="K298" s="13">
        <v>43994</v>
      </c>
      <c r="L298">
        <v>8127</v>
      </c>
      <c r="M298" t="s">
        <v>609</v>
      </c>
    </row>
    <row r="299" spans="1:13" x14ac:dyDescent="0.35">
      <c r="A299" t="s">
        <v>610</v>
      </c>
      <c r="B299" t="s">
        <v>18</v>
      </c>
      <c r="C299">
        <v>135.19999999999999</v>
      </c>
      <c r="D299">
        <v>139.75</v>
      </c>
      <c r="E299">
        <v>135.1</v>
      </c>
      <c r="F299">
        <v>138.65</v>
      </c>
      <c r="G299">
        <v>139.5</v>
      </c>
      <c r="H299">
        <v>140.94999999999999</v>
      </c>
      <c r="I299">
        <v>11479</v>
      </c>
      <c r="J299">
        <v>1585865.5</v>
      </c>
      <c r="K299" s="13">
        <v>43994</v>
      </c>
      <c r="L299">
        <v>301</v>
      </c>
      <c r="M299" t="s">
        <v>611</v>
      </c>
    </row>
    <row r="300" spans="1:13" x14ac:dyDescent="0.35">
      <c r="A300" t="s">
        <v>612</v>
      </c>
      <c r="B300" t="s">
        <v>18</v>
      </c>
      <c r="C300">
        <v>128</v>
      </c>
      <c r="D300">
        <v>134.19999999999999</v>
      </c>
      <c r="E300">
        <v>128</v>
      </c>
      <c r="F300">
        <v>129.80000000000001</v>
      </c>
      <c r="G300">
        <v>130.1</v>
      </c>
      <c r="H300">
        <v>132</v>
      </c>
      <c r="I300">
        <v>2349</v>
      </c>
      <c r="J300">
        <v>305772.34999999998</v>
      </c>
      <c r="K300" s="13">
        <v>43994</v>
      </c>
      <c r="L300">
        <v>75</v>
      </c>
      <c r="M300" t="s">
        <v>613</v>
      </c>
    </row>
    <row r="301" spans="1:13" x14ac:dyDescent="0.35">
      <c r="A301" t="s">
        <v>614</v>
      </c>
      <c r="B301" t="s">
        <v>18</v>
      </c>
      <c r="C301">
        <v>66.099999999999994</v>
      </c>
      <c r="D301">
        <v>71.400000000000006</v>
      </c>
      <c r="E301">
        <v>65.25</v>
      </c>
      <c r="F301">
        <v>70.25</v>
      </c>
      <c r="G301">
        <v>70.2</v>
      </c>
      <c r="H301">
        <v>72.3</v>
      </c>
      <c r="I301">
        <v>1461487</v>
      </c>
      <c r="J301">
        <v>101061917.45</v>
      </c>
      <c r="K301" s="13">
        <v>43994</v>
      </c>
      <c r="L301">
        <v>8785</v>
      </c>
      <c r="M301" t="s">
        <v>615</v>
      </c>
    </row>
    <row r="302" spans="1:13" x14ac:dyDescent="0.35">
      <c r="A302" t="s">
        <v>616</v>
      </c>
      <c r="B302" t="s">
        <v>18</v>
      </c>
      <c r="C302">
        <v>139</v>
      </c>
      <c r="D302">
        <v>161.5</v>
      </c>
      <c r="E302">
        <v>139</v>
      </c>
      <c r="F302">
        <v>160.05000000000001</v>
      </c>
      <c r="G302">
        <v>160.15</v>
      </c>
      <c r="H302">
        <v>150.94999999999999</v>
      </c>
      <c r="I302">
        <v>22227409</v>
      </c>
      <c r="J302">
        <v>3390575591.6500001</v>
      </c>
      <c r="K302" s="13">
        <v>43994</v>
      </c>
      <c r="L302">
        <v>136259</v>
      </c>
      <c r="M302" t="s">
        <v>617</v>
      </c>
    </row>
    <row r="303" spans="1:13" x14ac:dyDescent="0.35">
      <c r="A303" t="s">
        <v>618</v>
      </c>
      <c r="B303" t="s">
        <v>18</v>
      </c>
      <c r="C303">
        <v>277.14999999999998</v>
      </c>
      <c r="D303">
        <v>288</v>
      </c>
      <c r="E303">
        <v>277.14999999999998</v>
      </c>
      <c r="F303">
        <v>283.8</v>
      </c>
      <c r="G303">
        <v>282.05</v>
      </c>
      <c r="H303">
        <v>290.25</v>
      </c>
      <c r="I303">
        <v>43404</v>
      </c>
      <c r="J303">
        <v>12218310.1</v>
      </c>
      <c r="K303" s="13">
        <v>43994</v>
      </c>
      <c r="L303">
        <v>1619</v>
      </c>
      <c r="M303" t="s">
        <v>619</v>
      </c>
    </row>
    <row r="304" spans="1:13" x14ac:dyDescent="0.35">
      <c r="A304" t="s">
        <v>620</v>
      </c>
      <c r="B304" t="s">
        <v>18</v>
      </c>
      <c r="C304">
        <v>0.7</v>
      </c>
      <c r="D304">
        <v>0.7</v>
      </c>
      <c r="E304">
        <v>0.65</v>
      </c>
      <c r="F304">
        <v>0.65</v>
      </c>
      <c r="G304">
        <v>0.65</v>
      </c>
      <c r="H304">
        <v>0.7</v>
      </c>
      <c r="I304">
        <v>22999</v>
      </c>
      <c r="J304">
        <v>15004.35</v>
      </c>
      <c r="K304" s="13">
        <v>43994</v>
      </c>
      <c r="L304">
        <v>11</v>
      </c>
      <c r="M304" t="s">
        <v>621</v>
      </c>
    </row>
    <row r="305" spans="1:13" x14ac:dyDescent="0.35">
      <c r="A305" t="s">
        <v>622</v>
      </c>
      <c r="B305" t="s">
        <v>18</v>
      </c>
      <c r="C305">
        <v>283.3</v>
      </c>
      <c r="D305">
        <v>294.89999999999998</v>
      </c>
      <c r="E305">
        <v>283.3</v>
      </c>
      <c r="F305">
        <v>293</v>
      </c>
      <c r="G305">
        <v>292</v>
      </c>
      <c r="H305">
        <v>296.7</v>
      </c>
      <c r="I305">
        <v>30073</v>
      </c>
      <c r="J305">
        <v>8797189.4000000004</v>
      </c>
      <c r="K305" s="13">
        <v>43994</v>
      </c>
      <c r="L305">
        <v>528</v>
      </c>
      <c r="M305" t="s">
        <v>623</v>
      </c>
    </row>
    <row r="306" spans="1:13" x14ac:dyDescent="0.35">
      <c r="A306" t="s">
        <v>624</v>
      </c>
      <c r="B306" t="s">
        <v>18</v>
      </c>
      <c r="C306">
        <v>13.65</v>
      </c>
      <c r="D306">
        <v>14.85</v>
      </c>
      <c r="E306">
        <v>13.65</v>
      </c>
      <c r="F306">
        <v>14.7</v>
      </c>
      <c r="G306">
        <v>14.8</v>
      </c>
      <c r="H306">
        <v>15.15</v>
      </c>
      <c r="I306">
        <v>24866</v>
      </c>
      <c r="J306">
        <v>349679.65</v>
      </c>
      <c r="K306" s="13">
        <v>43994</v>
      </c>
      <c r="L306">
        <v>155</v>
      </c>
      <c r="M306" t="s">
        <v>625</v>
      </c>
    </row>
    <row r="307" spans="1:13" x14ac:dyDescent="0.35">
      <c r="A307" t="s">
        <v>626</v>
      </c>
      <c r="B307" t="s">
        <v>18</v>
      </c>
      <c r="C307">
        <v>21.7</v>
      </c>
      <c r="D307">
        <v>23.9</v>
      </c>
      <c r="E307">
        <v>21.7</v>
      </c>
      <c r="F307">
        <v>23.75</v>
      </c>
      <c r="G307">
        <v>23.55</v>
      </c>
      <c r="H307">
        <v>24</v>
      </c>
      <c r="I307">
        <v>12360</v>
      </c>
      <c r="J307">
        <v>287172.09999999998</v>
      </c>
      <c r="K307" s="13">
        <v>43994</v>
      </c>
      <c r="L307">
        <v>124</v>
      </c>
      <c r="M307" t="s">
        <v>627</v>
      </c>
    </row>
    <row r="308" spans="1:13" x14ac:dyDescent="0.35">
      <c r="A308" t="s">
        <v>628</v>
      </c>
      <c r="B308" t="s">
        <v>18</v>
      </c>
      <c r="C308">
        <v>6.6</v>
      </c>
      <c r="D308">
        <v>6.6</v>
      </c>
      <c r="E308">
        <v>6.3</v>
      </c>
      <c r="F308">
        <v>6.3</v>
      </c>
      <c r="G308">
        <v>6.3</v>
      </c>
      <c r="H308">
        <v>6.6</v>
      </c>
      <c r="I308">
        <v>3222</v>
      </c>
      <c r="J308">
        <v>20358.599999999999</v>
      </c>
      <c r="K308" s="13">
        <v>43994</v>
      </c>
      <c r="L308">
        <v>14</v>
      </c>
      <c r="M308" t="s">
        <v>629</v>
      </c>
    </row>
    <row r="309" spans="1:13" x14ac:dyDescent="0.35">
      <c r="A309" t="s">
        <v>630</v>
      </c>
      <c r="B309" t="s">
        <v>18</v>
      </c>
      <c r="C309">
        <v>616.29999999999995</v>
      </c>
      <c r="D309">
        <v>645</v>
      </c>
      <c r="E309">
        <v>616.29999999999995</v>
      </c>
      <c r="F309">
        <v>643.6</v>
      </c>
      <c r="G309">
        <v>643.1</v>
      </c>
      <c r="H309">
        <v>635</v>
      </c>
      <c r="I309">
        <v>5579264</v>
      </c>
      <c r="J309">
        <v>3540642950.6999998</v>
      </c>
      <c r="K309" s="13">
        <v>43994</v>
      </c>
      <c r="L309">
        <v>90026</v>
      </c>
      <c r="M309" t="s">
        <v>631</v>
      </c>
    </row>
    <row r="310" spans="1:13" x14ac:dyDescent="0.35">
      <c r="A310" t="s">
        <v>3442</v>
      </c>
      <c r="B310" t="s">
        <v>3414</v>
      </c>
      <c r="C310">
        <v>0.65</v>
      </c>
      <c r="D310">
        <v>0.65</v>
      </c>
      <c r="E310">
        <v>0.6</v>
      </c>
      <c r="F310">
        <v>0.65</v>
      </c>
      <c r="G310">
        <v>0.65</v>
      </c>
      <c r="H310">
        <v>0.6</v>
      </c>
      <c r="I310">
        <v>1356344</v>
      </c>
      <c r="J310">
        <v>875856.9</v>
      </c>
      <c r="K310" s="13">
        <v>43994</v>
      </c>
      <c r="L310">
        <v>194</v>
      </c>
      <c r="M310" t="s">
        <v>3443</v>
      </c>
    </row>
    <row r="311" spans="1:13" x14ac:dyDescent="0.35">
      <c r="A311" t="s">
        <v>3444</v>
      </c>
      <c r="B311" t="s">
        <v>3381</v>
      </c>
      <c r="C311">
        <v>3.7</v>
      </c>
      <c r="D311">
        <v>3.7</v>
      </c>
      <c r="E311">
        <v>3.45</v>
      </c>
      <c r="F311">
        <v>3.45</v>
      </c>
      <c r="G311">
        <v>3.45</v>
      </c>
      <c r="H311">
        <v>3.6</v>
      </c>
      <c r="I311">
        <v>28000</v>
      </c>
      <c r="J311">
        <v>97600</v>
      </c>
      <c r="K311" s="13">
        <v>43994</v>
      </c>
      <c r="L311">
        <v>7</v>
      </c>
      <c r="M311" t="s">
        <v>3445</v>
      </c>
    </row>
    <row r="312" spans="1:13" x14ac:dyDescent="0.35">
      <c r="A312" t="s">
        <v>632</v>
      </c>
      <c r="B312" t="s">
        <v>18</v>
      </c>
      <c r="C312">
        <v>39.25</v>
      </c>
      <c r="D312">
        <v>45.95</v>
      </c>
      <c r="E312">
        <v>39.25</v>
      </c>
      <c r="F312">
        <v>44.85</v>
      </c>
      <c r="G312">
        <v>44.9</v>
      </c>
      <c r="H312">
        <v>42.05</v>
      </c>
      <c r="I312">
        <v>24664</v>
      </c>
      <c r="J312">
        <v>1065993.3999999999</v>
      </c>
      <c r="K312" s="13">
        <v>43994</v>
      </c>
      <c r="L312">
        <v>607</v>
      </c>
      <c r="M312" t="s">
        <v>633</v>
      </c>
    </row>
    <row r="313" spans="1:13" x14ac:dyDescent="0.35">
      <c r="A313" t="s">
        <v>634</v>
      </c>
      <c r="B313" t="s">
        <v>18</v>
      </c>
      <c r="C313">
        <v>343.7</v>
      </c>
      <c r="D313">
        <v>355.95</v>
      </c>
      <c r="E313">
        <v>343</v>
      </c>
      <c r="F313">
        <v>349.7</v>
      </c>
      <c r="G313">
        <v>350.1</v>
      </c>
      <c r="H313">
        <v>353.75</v>
      </c>
      <c r="I313">
        <v>12075</v>
      </c>
      <c r="J313">
        <v>4210186.3499999996</v>
      </c>
      <c r="K313" s="13">
        <v>43994</v>
      </c>
      <c r="L313">
        <v>891</v>
      </c>
      <c r="M313" t="s">
        <v>635</v>
      </c>
    </row>
    <row r="314" spans="1:13" x14ac:dyDescent="0.35">
      <c r="A314" t="s">
        <v>636</v>
      </c>
      <c r="B314" t="s">
        <v>18</v>
      </c>
      <c r="C314">
        <v>24.25</v>
      </c>
      <c r="D314">
        <v>27</v>
      </c>
      <c r="E314">
        <v>23.1</v>
      </c>
      <c r="F314">
        <v>25.45</v>
      </c>
      <c r="G314">
        <v>25.5</v>
      </c>
      <c r="H314">
        <v>25.4</v>
      </c>
      <c r="I314">
        <v>56881</v>
      </c>
      <c r="J314">
        <v>1418120.85</v>
      </c>
      <c r="K314" s="13">
        <v>43994</v>
      </c>
      <c r="L314">
        <v>676</v>
      </c>
      <c r="M314" t="s">
        <v>637</v>
      </c>
    </row>
    <row r="315" spans="1:13" x14ac:dyDescent="0.35">
      <c r="A315" t="s">
        <v>638</v>
      </c>
      <c r="B315" t="s">
        <v>18</v>
      </c>
      <c r="C315">
        <v>5.5</v>
      </c>
      <c r="D315">
        <v>5.7</v>
      </c>
      <c r="E315">
        <v>5.2</v>
      </c>
      <c r="F315">
        <v>5.6</v>
      </c>
      <c r="G315">
        <v>5.5</v>
      </c>
      <c r="H315">
        <v>5.45</v>
      </c>
      <c r="I315">
        <v>3251</v>
      </c>
      <c r="J315">
        <v>17821.7</v>
      </c>
      <c r="K315" s="13">
        <v>43994</v>
      </c>
      <c r="L315">
        <v>26</v>
      </c>
      <c r="M315" t="s">
        <v>639</v>
      </c>
    </row>
    <row r="316" spans="1:13" x14ac:dyDescent="0.35">
      <c r="A316" t="s">
        <v>640</v>
      </c>
      <c r="B316" t="s">
        <v>18</v>
      </c>
      <c r="C316">
        <v>133.1</v>
      </c>
      <c r="D316">
        <v>135.55000000000001</v>
      </c>
      <c r="E316">
        <v>132.69999999999999</v>
      </c>
      <c r="F316">
        <v>134.65</v>
      </c>
      <c r="G316">
        <v>134.69999999999999</v>
      </c>
      <c r="H316">
        <v>137.69999999999999</v>
      </c>
      <c r="I316">
        <v>8425506</v>
      </c>
      <c r="J316">
        <v>1131505864.05</v>
      </c>
      <c r="K316" s="13">
        <v>43994</v>
      </c>
      <c r="L316">
        <v>71487</v>
      </c>
      <c r="M316" t="s">
        <v>641</v>
      </c>
    </row>
    <row r="317" spans="1:13" x14ac:dyDescent="0.35">
      <c r="A317" t="s">
        <v>642</v>
      </c>
      <c r="B317" t="s">
        <v>18</v>
      </c>
      <c r="C317">
        <v>250.1</v>
      </c>
      <c r="D317">
        <v>272.89999999999998</v>
      </c>
      <c r="E317">
        <v>250.1</v>
      </c>
      <c r="F317">
        <v>270.85000000000002</v>
      </c>
      <c r="G317">
        <v>272</v>
      </c>
      <c r="H317">
        <v>264.05</v>
      </c>
      <c r="I317">
        <v>461338</v>
      </c>
      <c r="J317">
        <v>121319603.75</v>
      </c>
      <c r="K317" s="13">
        <v>43994</v>
      </c>
      <c r="L317">
        <v>9905</v>
      </c>
      <c r="M317" t="s">
        <v>643</v>
      </c>
    </row>
    <row r="318" spans="1:13" x14ac:dyDescent="0.35">
      <c r="A318" t="s">
        <v>644</v>
      </c>
      <c r="B318" t="s">
        <v>18</v>
      </c>
      <c r="C318">
        <v>1306</v>
      </c>
      <c r="D318">
        <v>1361</v>
      </c>
      <c r="E318">
        <v>1306</v>
      </c>
      <c r="F318">
        <v>1354.45</v>
      </c>
      <c r="G318">
        <v>1353</v>
      </c>
      <c r="H318">
        <v>1339.2</v>
      </c>
      <c r="I318">
        <v>637257</v>
      </c>
      <c r="J318">
        <v>853486836.85000002</v>
      </c>
      <c r="K318" s="13">
        <v>43994</v>
      </c>
      <c r="L318">
        <v>22976</v>
      </c>
      <c r="M318" t="s">
        <v>645</v>
      </c>
    </row>
    <row r="319" spans="1:13" x14ac:dyDescent="0.35">
      <c r="A319" t="s">
        <v>646</v>
      </c>
      <c r="B319" t="s">
        <v>18</v>
      </c>
      <c r="C319">
        <v>11.35</v>
      </c>
      <c r="D319">
        <v>12.45</v>
      </c>
      <c r="E319">
        <v>11.35</v>
      </c>
      <c r="F319">
        <v>12.45</v>
      </c>
      <c r="G319">
        <v>12.45</v>
      </c>
      <c r="H319">
        <v>11.9</v>
      </c>
      <c r="I319">
        <v>137598</v>
      </c>
      <c r="J319">
        <v>1628746.8</v>
      </c>
      <c r="K319" s="13">
        <v>43994</v>
      </c>
      <c r="L319">
        <v>488</v>
      </c>
      <c r="M319" t="s">
        <v>647</v>
      </c>
    </row>
    <row r="320" spans="1:13" x14ac:dyDescent="0.35">
      <c r="A320" t="s">
        <v>648</v>
      </c>
      <c r="B320" t="s">
        <v>18</v>
      </c>
      <c r="C320">
        <v>10.75</v>
      </c>
      <c r="D320">
        <v>11.05</v>
      </c>
      <c r="E320">
        <v>10.5</v>
      </c>
      <c r="F320">
        <v>10.5</v>
      </c>
      <c r="G320">
        <v>10.5</v>
      </c>
      <c r="H320">
        <v>11.05</v>
      </c>
      <c r="I320">
        <v>134646</v>
      </c>
      <c r="J320">
        <v>1418832.75</v>
      </c>
      <c r="K320" s="13">
        <v>43994</v>
      </c>
      <c r="L320">
        <v>727</v>
      </c>
      <c r="M320" t="s">
        <v>649</v>
      </c>
    </row>
    <row r="321" spans="1:13" x14ac:dyDescent="0.35">
      <c r="A321" t="s">
        <v>650</v>
      </c>
      <c r="B321" t="s">
        <v>18</v>
      </c>
      <c r="C321">
        <v>370</v>
      </c>
      <c r="D321">
        <v>397.5</v>
      </c>
      <c r="E321">
        <v>365.1</v>
      </c>
      <c r="F321">
        <v>394.55</v>
      </c>
      <c r="G321">
        <v>393.6</v>
      </c>
      <c r="H321">
        <v>389.9</v>
      </c>
      <c r="I321">
        <v>2083700</v>
      </c>
      <c r="J321">
        <v>808552413.35000002</v>
      </c>
      <c r="K321" s="13">
        <v>43994</v>
      </c>
      <c r="L321">
        <v>50927</v>
      </c>
      <c r="M321" t="s">
        <v>651</v>
      </c>
    </row>
    <row r="322" spans="1:13" x14ac:dyDescent="0.35">
      <c r="A322" t="s">
        <v>652</v>
      </c>
      <c r="B322" t="s">
        <v>18</v>
      </c>
      <c r="C322">
        <v>18.5</v>
      </c>
      <c r="D322">
        <v>19.8</v>
      </c>
      <c r="E322">
        <v>18.5</v>
      </c>
      <c r="F322">
        <v>19.399999999999999</v>
      </c>
      <c r="G322">
        <v>19.5</v>
      </c>
      <c r="H322">
        <v>19.850000000000001</v>
      </c>
      <c r="I322">
        <v>164879</v>
      </c>
      <c r="J322">
        <v>3158094.6</v>
      </c>
      <c r="K322" s="13">
        <v>43994</v>
      </c>
      <c r="L322">
        <v>782</v>
      </c>
      <c r="M322" t="s">
        <v>653</v>
      </c>
    </row>
    <row r="323" spans="1:13" x14ac:dyDescent="0.35">
      <c r="A323" t="s">
        <v>654</v>
      </c>
      <c r="B323" t="s">
        <v>18</v>
      </c>
      <c r="C323">
        <v>27.5</v>
      </c>
      <c r="D323">
        <v>29</v>
      </c>
      <c r="E323">
        <v>26.45</v>
      </c>
      <c r="F323">
        <v>27.85</v>
      </c>
      <c r="G323">
        <v>28.05</v>
      </c>
      <c r="H323">
        <v>28.65</v>
      </c>
      <c r="I323">
        <v>2928</v>
      </c>
      <c r="J323">
        <v>81371.350000000006</v>
      </c>
      <c r="K323" s="13">
        <v>43994</v>
      </c>
      <c r="L323">
        <v>21</v>
      </c>
      <c r="M323" t="s">
        <v>655</v>
      </c>
    </row>
    <row r="324" spans="1:13" x14ac:dyDescent="0.35">
      <c r="A324" t="s">
        <v>3446</v>
      </c>
      <c r="B324" t="s">
        <v>3381</v>
      </c>
      <c r="C324">
        <v>10.55</v>
      </c>
      <c r="D324">
        <v>10.55</v>
      </c>
      <c r="E324">
        <v>10.55</v>
      </c>
      <c r="F324">
        <v>10.55</v>
      </c>
      <c r="G324">
        <v>10.55</v>
      </c>
      <c r="H324">
        <v>11.1</v>
      </c>
      <c r="I324">
        <v>39996</v>
      </c>
      <c r="J324">
        <v>421957.8</v>
      </c>
      <c r="K324" s="13">
        <v>43994</v>
      </c>
      <c r="L324">
        <v>12</v>
      </c>
      <c r="M324" t="s">
        <v>3447</v>
      </c>
    </row>
    <row r="325" spans="1:13" x14ac:dyDescent="0.35">
      <c r="A325" t="s">
        <v>656</v>
      </c>
      <c r="B325" t="s">
        <v>18</v>
      </c>
      <c r="C325">
        <v>198.3</v>
      </c>
      <c r="D325">
        <v>198.3</v>
      </c>
      <c r="E325">
        <v>185.75</v>
      </c>
      <c r="F325">
        <v>191.7</v>
      </c>
      <c r="G325">
        <v>190.85</v>
      </c>
      <c r="H325">
        <v>200.45</v>
      </c>
      <c r="I325">
        <v>10991</v>
      </c>
      <c r="J325">
        <v>2102521.2000000002</v>
      </c>
      <c r="K325" s="13">
        <v>43994</v>
      </c>
      <c r="L325">
        <v>397</v>
      </c>
      <c r="M325" t="s">
        <v>657</v>
      </c>
    </row>
    <row r="326" spans="1:13" x14ac:dyDescent="0.35">
      <c r="A326" t="s">
        <v>658</v>
      </c>
      <c r="B326" t="s">
        <v>18</v>
      </c>
      <c r="C326">
        <v>14.8</v>
      </c>
      <c r="D326">
        <v>15.3</v>
      </c>
      <c r="E326">
        <v>14.3</v>
      </c>
      <c r="F326">
        <v>15.2</v>
      </c>
      <c r="G326">
        <v>15.2</v>
      </c>
      <c r="H326">
        <v>14.6</v>
      </c>
      <c r="I326">
        <v>11395</v>
      </c>
      <c r="J326">
        <v>169424.2</v>
      </c>
      <c r="K326" s="13">
        <v>43994</v>
      </c>
      <c r="L326">
        <v>110</v>
      </c>
      <c r="M326" t="s">
        <v>659</v>
      </c>
    </row>
    <row r="327" spans="1:13" x14ac:dyDescent="0.35">
      <c r="A327" t="s">
        <v>660</v>
      </c>
      <c r="B327" t="s">
        <v>18</v>
      </c>
      <c r="C327">
        <v>32.1</v>
      </c>
      <c r="D327">
        <v>34</v>
      </c>
      <c r="E327">
        <v>32.1</v>
      </c>
      <c r="F327">
        <v>33.4</v>
      </c>
      <c r="G327">
        <v>33.5</v>
      </c>
      <c r="H327">
        <v>34.700000000000003</v>
      </c>
      <c r="I327">
        <v>13794</v>
      </c>
      <c r="J327">
        <v>455492.05</v>
      </c>
      <c r="K327" s="13">
        <v>43994</v>
      </c>
      <c r="L327">
        <v>138</v>
      </c>
      <c r="M327" t="s">
        <v>661</v>
      </c>
    </row>
    <row r="328" spans="1:13" x14ac:dyDescent="0.35">
      <c r="A328" t="s">
        <v>662</v>
      </c>
      <c r="B328" t="s">
        <v>18</v>
      </c>
      <c r="C328">
        <v>651.15</v>
      </c>
      <c r="D328">
        <v>677.95</v>
      </c>
      <c r="E328">
        <v>645.75</v>
      </c>
      <c r="F328">
        <v>673.2</v>
      </c>
      <c r="G328">
        <v>674.55</v>
      </c>
      <c r="H328">
        <v>672.3</v>
      </c>
      <c r="I328">
        <v>323658</v>
      </c>
      <c r="J328">
        <v>215446175</v>
      </c>
      <c r="K328" s="13">
        <v>43994</v>
      </c>
      <c r="L328">
        <v>12159</v>
      </c>
      <c r="M328" t="s">
        <v>663</v>
      </c>
    </row>
    <row r="329" spans="1:13" x14ac:dyDescent="0.35">
      <c r="A329" t="s">
        <v>664</v>
      </c>
      <c r="B329" t="s">
        <v>18</v>
      </c>
      <c r="C329">
        <v>278.25</v>
      </c>
      <c r="D329">
        <v>292.2</v>
      </c>
      <c r="E329">
        <v>273</v>
      </c>
      <c r="F329">
        <v>290.60000000000002</v>
      </c>
      <c r="G329">
        <v>289.95</v>
      </c>
      <c r="H329">
        <v>284.10000000000002</v>
      </c>
      <c r="I329">
        <v>83206</v>
      </c>
      <c r="J329">
        <v>23542445.899999999</v>
      </c>
      <c r="K329" s="13">
        <v>43994</v>
      </c>
      <c r="L329">
        <v>2987</v>
      </c>
      <c r="M329" t="s">
        <v>665</v>
      </c>
    </row>
    <row r="330" spans="1:13" x14ac:dyDescent="0.35">
      <c r="A330" t="s">
        <v>666</v>
      </c>
      <c r="B330" t="s">
        <v>18</v>
      </c>
      <c r="C330">
        <v>1.4</v>
      </c>
      <c r="D330">
        <v>1.45</v>
      </c>
      <c r="E330">
        <v>1.35</v>
      </c>
      <c r="F330">
        <v>1.4</v>
      </c>
      <c r="G330">
        <v>1.45</v>
      </c>
      <c r="H330">
        <v>1.4</v>
      </c>
      <c r="I330">
        <v>31936</v>
      </c>
      <c r="J330">
        <v>45280.1</v>
      </c>
      <c r="K330" s="13">
        <v>43994</v>
      </c>
      <c r="L330">
        <v>33</v>
      </c>
      <c r="M330" t="s">
        <v>667</v>
      </c>
    </row>
    <row r="331" spans="1:13" x14ac:dyDescent="0.35">
      <c r="A331" t="s">
        <v>3448</v>
      </c>
      <c r="B331" t="s">
        <v>3414</v>
      </c>
      <c r="C331">
        <v>1.2</v>
      </c>
      <c r="D331">
        <v>1.25</v>
      </c>
      <c r="E331">
        <v>1.1499999999999999</v>
      </c>
      <c r="F331">
        <v>1.2</v>
      </c>
      <c r="G331">
        <v>1.25</v>
      </c>
      <c r="H331">
        <v>1.2</v>
      </c>
      <c r="I331">
        <v>2345588</v>
      </c>
      <c r="J331">
        <v>2724780.3</v>
      </c>
      <c r="K331" s="13">
        <v>43994</v>
      </c>
      <c r="L331">
        <v>905</v>
      </c>
      <c r="M331" t="s">
        <v>3449</v>
      </c>
    </row>
    <row r="332" spans="1:13" x14ac:dyDescent="0.35">
      <c r="A332" t="s">
        <v>668</v>
      </c>
      <c r="B332" t="s">
        <v>18</v>
      </c>
      <c r="C332">
        <v>17.55</v>
      </c>
      <c r="D332">
        <v>17.670000000000002</v>
      </c>
      <c r="E332">
        <v>16.920000000000002</v>
      </c>
      <c r="F332">
        <v>17.61</v>
      </c>
      <c r="G332">
        <v>17.600000000000001</v>
      </c>
      <c r="H332">
        <v>17.82</v>
      </c>
      <c r="I332">
        <v>1050657</v>
      </c>
      <c r="J332">
        <v>18287735.66</v>
      </c>
      <c r="K332" s="13">
        <v>43994</v>
      </c>
      <c r="L332">
        <v>20559</v>
      </c>
      <c r="M332" t="s">
        <v>669</v>
      </c>
    </row>
    <row r="333" spans="1:13" x14ac:dyDescent="0.35">
      <c r="A333" t="s">
        <v>670</v>
      </c>
      <c r="B333" t="s">
        <v>18</v>
      </c>
      <c r="C333">
        <v>86.1</v>
      </c>
      <c r="D333">
        <v>93.7</v>
      </c>
      <c r="E333">
        <v>85.5</v>
      </c>
      <c r="F333">
        <v>85.55</v>
      </c>
      <c r="G333">
        <v>85.5</v>
      </c>
      <c r="H333">
        <v>90</v>
      </c>
      <c r="I333">
        <v>2293</v>
      </c>
      <c r="J333">
        <v>196883.20000000001</v>
      </c>
      <c r="K333" s="13">
        <v>43994</v>
      </c>
      <c r="L333">
        <v>54</v>
      </c>
      <c r="M333" t="s">
        <v>671</v>
      </c>
    </row>
    <row r="334" spans="1:13" x14ac:dyDescent="0.35">
      <c r="A334" t="s">
        <v>3450</v>
      </c>
      <c r="B334" t="s">
        <v>3391</v>
      </c>
      <c r="C334">
        <v>1.5</v>
      </c>
      <c r="D334">
        <v>1.5</v>
      </c>
      <c r="E334">
        <v>1.5</v>
      </c>
      <c r="F334">
        <v>1.5</v>
      </c>
      <c r="G334">
        <v>1.5</v>
      </c>
      <c r="H334">
        <v>1.45</v>
      </c>
      <c r="I334">
        <v>500</v>
      </c>
      <c r="J334">
        <v>750</v>
      </c>
      <c r="K334" s="13">
        <v>43994</v>
      </c>
      <c r="L334">
        <v>1</v>
      </c>
      <c r="M334" t="s">
        <v>3451</v>
      </c>
    </row>
    <row r="335" spans="1:13" x14ac:dyDescent="0.35">
      <c r="A335" t="s">
        <v>672</v>
      </c>
      <c r="B335" t="s">
        <v>18</v>
      </c>
      <c r="C335">
        <v>481.3</v>
      </c>
      <c r="D335">
        <v>525</v>
      </c>
      <c r="E335">
        <v>481.3</v>
      </c>
      <c r="F335">
        <v>521.20000000000005</v>
      </c>
      <c r="G335">
        <v>522</v>
      </c>
      <c r="H335">
        <v>506.6</v>
      </c>
      <c r="I335">
        <v>104910</v>
      </c>
      <c r="J335">
        <v>52638788.899999999</v>
      </c>
      <c r="K335" s="13">
        <v>43994</v>
      </c>
      <c r="L335">
        <v>4352</v>
      </c>
      <c r="M335" t="s">
        <v>673</v>
      </c>
    </row>
    <row r="336" spans="1:13" x14ac:dyDescent="0.35">
      <c r="A336" t="s">
        <v>674</v>
      </c>
      <c r="B336" t="s">
        <v>18</v>
      </c>
      <c r="C336">
        <v>68</v>
      </c>
      <c r="D336">
        <v>69.349999999999994</v>
      </c>
      <c r="E336">
        <v>63.3</v>
      </c>
      <c r="F336">
        <v>64.55</v>
      </c>
      <c r="G336">
        <v>65</v>
      </c>
      <c r="H336">
        <v>69.45</v>
      </c>
      <c r="I336">
        <v>3216</v>
      </c>
      <c r="J336">
        <v>209141.8</v>
      </c>
      <c r="K336" s="13">
        <v>43994</v>
      </c>
      <c r="L336">
        <v>113</v>
      </c>
      <c r="M336" t="s">
        <v>675</v>
      </c>
    </row>
    <row r="337" spans="1:13" x14ac:dyDescent="0.35">
      <c r="A337" t="s">
        <v>676</v>
      </c>
      <c r="B337" t="s">
        <v>18</v>
      </c>
      <c r="C337">
        <v>1430</v>
      </c>
      <c r="D337">
        <v>1470</v>
      </c>
      <c r="E337">
        <v>1430</v>
      </c>
      <c r="F337">
        <v>1453.5</v>
      </c>
      <c r="G337">
        <v>1456.65</v>
      </c>
      <c r="H337">
        <v>1476.15</v>
      </c>
      <c r="I337">
        <v>15254</v>
      </c>
      <c r="J337">
        <v>22139839.350000001</v>
      </c>
      <c r="K337" s="13">
        <v>43994</v>
      </c>
      <c r="L337">
        <v>1791</v>
      </c>
      <c r="M337" t="s">
        <v>677</v>
      </c>
    </row>
    <row r="338" spans="1:13" x14ac:dyDescent="0.35">
      <c r="A338" t="s">
        <v>678</v>
      </c>
      <c r="B338" t="s">
        <v>18</v>
      </c>
      <c r="C338">
        <v>218.5</v>
      </c>
      <c r="D338">
        <v>228.85</v>
      </c>
      <c r="E338">
        <v>218.5</v>
      </c>
      <c r="F338">
        <v>225.05</v>
      </c>
      <c r="G338">
        <v>225.05</v>
      </c>
      <c r="H338">
        <v>228.05</v>
      </c>
      <c r="I338">
        <v>309074</v>
      </c>
      <c r="J338">
        <v>69354341.25</v>
      </c>
      <c r="K338" s="13">
        <v>43994</v>
      </c>
      <c r="L338">
        <v>5232</v>
      </c>
      <c r="M338" t="s">
        <v>679</v>
      </c>
    </row>
    <row r="339" spans="1:13" x14ac:dyDescent="0.35">
      <c r="A339" t="s">
        <v>680</v>
      </c>
      <c r="B339" t="s">
        <v>18</v>
      </c>
      <c r="C339">
        <v>128.5</v>
      </c>
      <c r="D339">
        <v>135.4</v>
      </c>
      <c r="E339">
        <v>128.5</v>
      </c>
      <c r="F339">
        <v>134.9</v>
      </c>
      <c r="G339">
        <v>134.94999999999999</v>
      </c>
      <c r="H339">
        <v>134.80000000000001</v>
      </c>
      <c r="I339">
        <v>75503</v>
      </c>
      <c r="J339">
        <v>10054821.199999999</v>
      </c>
      <c r="K339" s="13">
        <v>43994</v>
      </c>
      <c r="L339">
        <v>1693</v>
      </c>
      <c r="M339" t="s">
        <v>681</v>
      </c>
    </row>
    <row r="340" spans="1:13" x14ac:dyDescent="0.35">
      <c r="A340" t="s">
        <v>682</v>
      </c>
      <c r="B340" t="s">
        <v>18</v>
      </c>
      <c r="C340">
        <v>22.5</v>
      </c>
      <c r="D340">
        <v>22.5</v>
      </c>
      <c r="E340">
        <v>20.65</v>
      </c>
      <c r="F340">
        <v>20.65</v>
      </c>
      <c r="G340">
        <v>20.65</v>
      </c>
      <c r="H340">
        <v>21.7</v>
      </c>
      <c r="I340">
        <v>1360</v>
      </c>
      <c r="J340">
        <v>28085.9</v>
      </c>
      <c r="K340" s="13">
        <v>43994</v>
      </c>
      <c r="L340">
        <v>15</v>
      </c>
      <c r="M340" t="s">
        <v>683</v>
      </c>
    </row>
    <row r="341" spans="1:13" x14ac:dyDescent="0.35">
      <c r="A341" t="s">
        <v>684</v>
      </c>
      <c r="B341" t="s">
        <v>18</v>
      </c>
      <c r="C341">
        <v>126</v>
      </c>
      <c r="D341">
        <v>135.4</v>
      </c>
      <c r="E341">
        <v>126</v>
      </c>
      <c r="F341">
        <v>134.6</v>
      </c>
      <c r="G341">
        <v>134.44999999999999</v>
      </c>
      <c r="H341">
        <v>136.9</v>
      </c>
      <c r="I341">
        <v>777362</v>
      </c>
      <c r="J341">
        <v>103455612.84999999</v>
      </c>
      <c r="K341" s="13">
        <v>43994</v>
      </c>
      <c r="L341">
        <v>10510</v>
      </c>
      <c r="M341" t="s">
        <v>685</v>
      </c>
    </row>
    <row r="342" spans="1:13" x14ac:dyDescent="0.35">
      <c r="A342" t="s">
        <v>686</v>
      </c>
      <c r="B342" t="s">
        <v>18</v>
      </c>
      <c r="C342">
        <v>10.8</v>
      </c>
      <c r="D342">
        <v>11.1</v>
      </c>
      <c r="E342">
        <v>10.1</v>
      </c>
      <c r="F342">
        <v>11.1</v>
      </c>
      <c r="G342">
        <v>11.1</v>
      </c>
      <c r="H342">
        <v>10.6</v>
      </c>
      <c r="I342">
        <v>9428</v>
      </c>
      <c r="J342">
        <v>102024.8</v>
      </c>
      <c r="K342" s="13">
        <v>43994</v>
      </c>
      <c r="L342">
        <v>116</v>
      </c>
      <c r="M342" t="s">
        <v>687</v>
      </c>
    </row>
    <row r="343" spans="1:13" x14ac:dyDescent="0.35">
      <c r="A343" t="s">
        <v>688</v>
      </c>
      <c r="B343" t="s">
        <v>18</v>
      </c>
      <c r="C343">
        <v>380.05</v>
      </c>
      <c r="D343">
        <v>394</v>
      </c>
      <c r="E343">
        <v>380.05</v>
      </c>
      <c r="F343">
        <v>391.85</v>
      </c>
      <c r="G343">
        <v>392.5</v>
      </c>
      <c r="H343">
        <v>396.1</v>
      </c>
      <c r="I343">
        <v>808426</v>
      </c>
      <c r="J343">
        <v>314574891</v>
      </c>
      <c r="K343" s="13">
        <v>43994</v>
      </c>
      <c r="L343">
        <v>12205</v>
      </c>
      <c r="M343" t="s">
        <v>689</v>
      </c>
    </row>
    <row r="344" spans="1:13" x14ac:dyDescent="0.35">
      <c r="A344" t="s">
        <v>690</v>
      </c>
      <c r="B344" t="s">
        <v>18</v>
      </c>
      <c r="C344">
        <v>170</v>
      </c>
      <c r="D344">
        <v>177</v>
      </c>
      <c r="E344">
        <v>170</v>
      </c>
      <c r="F344">
        <v>175.25</v>
      </c>
      <c r="G344">
        <v>175.45</v>
      </c>
      <c r="H344">
        <v>177.7</v>
      </c>
      <c r="I344">
        <v>48596</v>
      </c>
      <c r="J344">
        <v>8418136.1500000004</v>
      </c>
      <c r="K344" s="13">
        <v>43994</v>
      </c>
      <c r="L344">
        <v>1399</v>
      </c>
      <c r="M344" t="s">
        <v>691</v>
      </c>
    </row>
    <row r="345" spans="1:13" x14ac:dyDescent="0.35">
      <c r="A345" t="s">
        <v>692</v>
      </c>
      <c r="B345" t="s">
        <v>18</v>
      </c>
      <c r="C345">
        <v>45</v>
      </c>
      <c r="D345">
        <v>45.85</v>
      </c>
      <c r="E345">
        <v>44.15</v>
      </c>
      <c r="F345">
        <v>45.1</v>
      </c>
      <c r="G345">
        <v>45</v>
      </c>
      <c r="H345">
        <v>45.4</v>
      </c>
      <c r="I345">
        <v>20451</v>
      </c>
      <c r="J345">
        <v>917159.65</v>
      </c>
      <c r="K345" s="13">
        <v>43994</v>
      </c>
      <c r="L345">
        <v>282</v>
      </c>
      <c r="M345" t="s">
        <v>693</v>
      </c>
    </row>
    <row r="346" spans="1:13" x14ac:dyDescent="0.35">
      <c r="A346" t="s">
        <v>694</v>
      </c>
      <c r="B346" t="s">
        <v>18</v>
      </c>
      <c r="C346">
        <v>210.3</v>
      </c>
      <c r="D346">
        <v>215.9</v>
      </c>
      <c r="E346">
        <v>207.4</v>
      </c>
      <c r="F346">
        <v>213.75</v>
      </c>
      <c r="G346">
        <v>213.5</v>
      </c>
      <c r="H346">
        <v>219.2</v>
      </c>
      <c r="I346">
        <v>549642</v>
      </c>
      <c r="J346">
        <v>116872721.84999999</v>
      </c>
      <c r="K346" s="13">
        <v>43994</v>
      </c>
      <c r="L346">
        <v>18424</v>
      </c>
      <c r="M346" t="s">
        <v>695</v>
      </c>
    </row>
    <row r="347" spans="1:13" x14ac:dyDescent="0.35">
      <c r="A347" t="s">
        <v>696</v>
      </c>
      <c r="B347" t="s">
        <v>18</v>
      </c>
      <c r="C347">
        <v>31</v>
      </c>
      <c r="D347">
        <v>36.700000000000003</v>
      </c>
      <c r="E347">
        <v>31</v>
      </c>
      <c r="F347">
        <v>36.200000000000003</v>
      </c>
      <c r="G347">
        <v>36</v>
      </c>
      <c r="H347">
        <v>34.65</v>
      </c>
      <c r="I347">
        <v>3842563</v>
      </c>
      <c r="J347">
        <v>131871807.05</v>
      </c>
      <c r="K347" s="13">
        <v>43994</v>
      </c>
      <c r="L347">
        <v>17894</v>
      </c>
      <c r="M347" t="s">
        <v>697</v>
      </c>
    </row>
    <row r="348" spans="1:13" x14ac:dyDescent="0.35">
      <c r="A348" t="s">
        <v>698</v>
      </c>
      <c r="B348" t="s">
        <v>18</v>
      </c>
      <c r="C348">
        <v>431.35</v>
      </c>
      <c r="D348">
        <v>457</v>
      </c>
      <c r="E348">
        <v>431</v>
      </c>
      <c r="F348">
        <v>455.65</v>
      </c>
      <c r="G348">
        <v>455.85</v>
      </c>
      <c r="H348">
        <v>450.1</v>
      </c>
      <c r="I348">
        <v>2789834</v>
      </c>
      <c r="J348">
        <v>1255482687.4000001</v>
      </c>
      <c r="K348" s="13">
        <v>43994</v>
      </c>
      <c r="L348">
        <v>37606</v>
      </c>
      <c r="M348" t="s">
        <v>699</v>
      </c>
    </row>
    <row r="349" spans="1:13" x14ac:dyDescent="0.35">
      <c r="A349" t="s">
        <v>700</v>
      </c>
      <c r="B349" t="s">
        <v>18</v>
      </c>
      <c r="C349">
        <v>550.54999999999995</v>
      </c>
      <c r="D349">
        <v>569</v>
      </c>
      <c r="E349">
        <v>550.54999999999995</v>
      </c>
      <c r="F349">
        <v>564.35</v>
      </c>
      <c r="G349">
        <v>566.9</v>
      </c>
      <c r="H349">
        <v>565.5</v>
      </c>
      <c r="I349">
        <v>186587</v>
      </c>
      <c r="J349">
        <v>105122388.84999999</v>
      </c>
      <c r="K349" s="13">
        <v>43994</v>
      </c>
      <c r="L349">
        <v>7467</v>
      </c>
      <c r="M349" t="s">
        <v>701</v>
      </c>
    </row>
    <row r="350" spans="1:13" x14ac:dyDescent="0.35">
      <c r="A350" t="s">
        <v>702</v>
      </c>
      <c r="B350" t="s">
        <v>18</v>
      </c>
      <c r="C350">
        <v>92</v>
      </c>
      <c r="D350">
        <v>105.2</v>
      </c>
      <c r="E350">
        <v>90.7</v>
      </c>
      <c r="F350">
        <v>102.3</v>
      </c>
      <c r="G350">
        <v>102.3</v>
      </c>
      <c r="H350">
        <v>97</v>
      </c>
      <c r="I350">
        <v>434816</v>
      </c>
      <c r="J350">
        <v>42953117.350000001</v>
      </c>
      <c r="K350" s="13">
        <v>43994</v>
      </c>
      <c r="L350">
        <v>4647</v>
      </c>
      <c r="M350" t="s">
        <v>703</v>
      </c>
    </row>
    <row r="351" spans="1:13" x14ac:dyDescent="0.35">
      <c r="A351" t="s">
        <v>704</v>
      </c>
      <c r="B351" t="s">
        <v>18</v>
      </c>
      <c r="C351">
        <v>20.75</v>
      </c>
      <c r="D351">
        <v>21.4</v>
      </c>
      <c r="E351">
        <v>20.7</v>
      </c>
      <c r="F351">
        <v>21.2</v>
      </c>
      <c r="G351">
        <v>21.4</v>
      </c>
      <c r="H351">
        <v>21.6</v>
      </c>
      <c r="I351">
        <v>908</v>
      </c>
      <c r="J351">
        <v>19209.150000000001</v>
      </c>
      <c r="K351" s="13">
        <v>43994</v>
      </c>
      <c r="L351">
        <v>12</v>
      </c>
      <c r="M351" t="s">
        <v>705</v>
      </c>
    </row>
    <row r="352" spans="1:13" x14ac:dyDescent="0.35">
      <c r="A352" t="s">
        <v>706</v>
      </c>
      <c r="B352" t="s">
        <v>18</v>
      </c>
      <c r="C352">
        <v>46.15</v>
      </c>
      <c r="D352">
        <v>47.8</v>
      </c>
      <c r="E352">
        <v>46.15</v>
      </c>
      <c r="F352">
        <v>47.2</v>
      </c>
      <c r="G352">
        <v>47.45</v>
      </c>
      <c r="H352">
        <v>48.55</v>
      </c>
      <c r="I352">
        <v>44647</v>
      </c>
      <c r="J352">
        <v>2092886.5</v>
      </c>
      <c r="K352" s="13">
        <v>43994</v>
      </c>
      <c r="L352">
        <v>407</v>
      </c>
      <c r="M352" t="s">
        <v>707</v>
      </c>
    </row>
    <row r="353" spans="1:13" x14ac:dyDescent="0.35">
      <c r="A353" t="s">
        <v>708</v>
      </c>
      <c r="B353" t="s">
        <v>18</v>
      </c>
      <c r="C353">
        <v>67.05</v>
      </c>
      <c r="D353">
        <v>71</v>
      </c>
      <c r="E353">
        <v>65.55</v>
      </c>
      <c r="F353">
        <v>70.55</v>
      </c>
      <c r="G353">
        <v>70</v>
      </c>
      <c r="H353">
        <v>72.55</v>
      </c>
      <c r="I353">
        <v>215814</v>
      </c>
      <c r="J353">
        <v>14949121</v>
      </c>
      <c r="K353" s="13">
        <v>43994</v>
      </c>
      <c r="L353">
        <v>2674</v>
      </c>
      <c r="M353" t="s">
        <v>709</v>
      </c>
    </row>
    <row r="354" spans="1:13" x14ac:dyDescent="0.35">
      <c r="A354" t="s">
        <v>710</v>
      </c>
      <c r="B354" t="s">
        <v>18</v>
      </c>
      <c r="C354">
        <v>260</v>
      </c>
      <c r="D354">
        <v>273</v>
      </c>
      <c r="E354">
        <v>258</v>
      </c>
      <c r="F354">
        <v>270.45</v>
      </c>
      <c r="G354">
        <v>269.60000000000002</v>
      </c>
      <c r="H354">
        <v>276.8</v>
      </c>
      <c r="I354">
        <v>233270</v>
      </c>
      <c r="J354">
        <v>62547106.25</v>
      </c>
      <c r="K354" s="13">
        <v>43994</v>
      </c>
      <c r="L354">
        <v>6065</v>
      </c>
      <c r="M354" t="s">
        <v>711</v>
      </c>
    </row>
    <row r="355" spans="1:13" x14ac:dyDescent="0.35">
      <c r="A355" t="s">
        <v>712</v>
      </c>
      <c r="B355" t="s">
        <v>18</v>
      </c>
      <c r="C355">
        <v>7.75</v>
      </c>
      <c r="D355">
        <v>7.85</v>
      </c>
      <c r="E355">
        <v>7.75</v>
      </c>
      <c r="F355">
        <v>7.75</v>
      </c>
      <c r="G355">
        <v>7.75</v>
      </c>
      <c r="H355">
        <v>8.15</v>
      </c>
      <c r="I355">
        <v>390898</v>
      </c>
      <c r="J355">
        <v>3029719.8</v>
      </c>
      <c r="K355" s="13">
        <v>43994</v>
      </c>
      <c r="L355">
        <v>757</v>
      </c>
      <c r="M355" t="s">
        <v>713</v>
      </c>
    </row>
    <row r="356" spans="1:13" x14ac:dyDescent="0.35">
      <c r="A356" t="s">
        <v>714</v>
      </c>
      <c r="B356" t="s">
        <v>18</v>
      </c>
      <c r="C356">
        <v>8</v>
      </c>
      <c r="D356">
        <v>8.4</v>
      </c>
      <c r="E356">
        <v>7.6</v>
      </c>
      <c r="F356">
        <v>8.3000000000000007</v>
      </c>
      <c r="G356">
        <v>8.3000000000000007</v>
      </c>
      <c r="H356">
        <v>8</v>
      </c>
      <c r="I356">
        <v>157</v>
      </c>
      <c r="J356">
        <v>1271.9000000000001</v>
      </c>
      <c r="K356" s="13">
        <v>43994</v>
      </c>
      <c r="L356">
        <v>14</v>
      </c>
      <c r="M356" t="s">
        <v>715</v>
      </c>
    </row>
    <row r="357" spans="1:13" x14ac:dyDescent="0.35">
      <c r="A357" t="s">
        <v>716</v>
      </c>
      <c r="B357" t="s">
        <v>18</v>
      </c>
      <c r="C357">
        <v>112</v>
      </c>
      <c r="D357">
        <v>126.95</v>
      </c>
      <c r="E357">
        <v>108.3</v>
      </c>
      <c r="F357">
        <v>122.9</v>
      </c>
      <c r="G357">
        <v>121.5</v>
      </c>
      <c r="H357">
        <v>119.15</v>
      </c>
      <c r="I357">
        <v>1820870</v>
      </c>
      <c r="J357">
        <v>218100252</v>
      </c>
      <c r="K357" s="13">
        <v>43994</v>
      </c>
      <c r="L357">
        <v>33815</v>
      </c>
      <c r="M357" t="s">
        <v>717</v>
      </c>
    </row>
    <row r="358" spans="1:13" x14ac:dyDescent="0.35">
      <c r="A358" t="s">
        <v>718</v>
      </c>
      <c r="B358" t="s">
        <v>18</v>
      </c>
      <c r="C358">
        <v>71.900000000000006</v>
      </c>
      <c r="D358">
        <v>72.650000000000006</v>
      </c>
      <c r="E358">
        <v>70</v>
      </c>
      <c r="F358">
        <v>71.849999999999994</v>
      </c>
      <c r="G358">
        <v>71.75</v>
      </c>
      <c r="H358">
        <v>74.5</v>
      </c>
      <c r="I358">
        <v>4092027</v>
      </c>
      <c r="J358">
        <v>293902387.75</v>
      </c>
      <c r="K358" s="13">
        <v>43994</v>
      </c>
      <c r="L358">
        <v>19100</v>
      </c>
      <c r="M358" t="s">
        <v>719</v>
      </c>
    </row>
    <row r="359" spans="1:13" x14ac:dyDescent="0.35">
      <c r="A359" t="s">
        <v>720</v>
      </c>
      <c r="B359" t="s">
        <v>18</v>
      </c>
      <c r="C359">
        <v>18</v>
      </c>
      <c r="D359">
        <v>18.7</v>
      </c>
      <c r="E359">
        <v>17.399999999999999</v>
      </c>
      <c r="F359">
        <v>17.95</v>
      </c>
      <c r="G359">
        <v>17.600000000000001</v>
      </c>
      <c r="H359">
        <v>18.149999999999999</v>
      </c>
      <c r="I359">
        <v>27934</v>
      </c>
      <c r="J359">
        <v>493830.95</v>
      </c>
      <c r="K359" s="13">
        <v>43994</v>
      </c>
      <c r="L359">
        <v>79</v>
      </c>
      <c r="M359" t="s">
        <v>721</v>
      </c>
    </row>
    <row r="360" spans="1:13" x14ac:dyDescent="0.35">
      <c r="A360" t="s">
        <v>722</v>
      </c>
      <c r="B360" t="s">
        <v>18</v>
      </c>
      <c r="C360">
        <v>24.3</v>
      </c>
      <c r="D360">
        <v>27.5</v>
      </c>
      <c r="E360">
        <v>24.3</v>
      </c>
      <c r="F360">
        <v>25.7</v>
      </c>
      <c r="G360">
        <v>26.9</v>
      </c>
      <c r="H360">
        <v>24.7</v>
      </c>
      <c r="I360">
        <v>2263</v>
      </c>
      <c r="J360">
        <v>58115.199999999997</v>
      </c>
      <c r="K360" s="13">
        <v>43994</v>
      </c>
      <c r="L360">
        <v>17</v>
      </c>
      <c r="M360" t="s">
        <v>723</v>
      </c>
    </row>
    <row r="361" spans="1:13" x14ac:dyDescent="0.35">
      <c r="A361" t="s">
        <v>724</v>
      </c>
      <c r="B361" t="s">
        <v>18</v>
      </c>
      <c r="C361">
        <v>289.5</v>
      </c>
      <c r="D361">
        <v>294.7</v>
      </c>
      <c r="E361">
        <v>284.55</v>
      </c>
      <c r="F361">
        <v>291.05</v>
      </c>
      <c r="G361">
        <v>292</v>
      </c>
      <c r="H361">
        <v>299.25</v>
      </c>
      <c r="I361">
        <v>92899</v>
      </c>
      <c r="J361">
        <v>26957761</v>
      </c>
      <c r="K361" s="13">
        <v>43994</v>
      </c>
      <c r="L361">
        <v>3578</v>
      </c>
      <c r="M361" t="s">
        <v>725</v>
      </c>
    </row>
    <row r="362" spans="1:13" x14ac:dyDescent="0.35">
      <c r="A362" t="s">
        <v>726</v>
      </c>
      <c r="B362" t="s">
        <v>18</v>
      </c>
      <c r="C362">
        <v>10.4</v>
      </c>
      <c r="D362">
        <v>11.05</v>
      </c>
      <c r="E362">
        <v>10.3</v>
      </c>
      <c r="F362">
        <v>10.95</v>
      </c>
      <c r="G362">
        <v>10.9</v>
      </c>
      <c r="H362">
        <v>10.85</v>
      </c>
      <c r="I362">
        <v>354967</v>
      </c>
      <c r="J362">
        <v>3786876.1</v>
      </c>
      <c r="K362" s="13">
        <v>43994</v>
      </c>
      <c r="L362">
        <v>787</v>
      </c>
      <c r="M362" t="s">
        <v>727</v>
      </c>
    </row>
    <row r="363" spans="1:13" x14ac:dyDescent="0.35">
      <c r="A363" t="s">
        <v>728</v>
      </c>
      <c r="B363" t="s">
        <v>18</v>
      </c>
      <c r="C363">
        <v>230</v>
      </c>
      <c r="D363">
        <v>234.3</v>
      </c>
      <c r="E363">
        <v>223</v>
      </c>
      <c r="F363">
        <v>230.75</v>
      </c>
      <c r="G363">
        <v>231.85</v>
      </c>
      <c r="H363">
        <v>234.3</v>
      </c>
      <c r="I363">
        <v>7830</v>
      </c>
      <c r="J363">
        <v>1790325.5</v>
      </c>
      <c r="K363" s="13">
        <v>43994</v>
      </c>
      <c r="L363">
        <v>349</v>
      </c>
      <c r="M363" t="s">
        <v>729</v>
      </c>
    </row>
    <row r="364" spans="1:13" x14ac:dyDescent="0.35">
      <c r="A364" t="s">
        <v>730</v>
      </c>
      <c r="B364" t="s">
        <v>18</v>
      </c>
      <c r="C364">
        <v>103.5</v>
      </c>
      <c r="D364">
        <v>105.9</v>
      </c>
      <c r="E364">
        <v>102.5</v>
      </c>
      <c r="F364">
        <v>104.25</v>
      </c>
      <c r="G364">
        <v>104</v>
      </c>
      <c r="H364">
        <v>106.1</v>
      </c>
      <c r="I364">
        <v>873197</v>
      </c>
      <c r="J364">
        <v>90909632.549999997</v>
      </c>
      <c r="K364" s="13">
        <v>43994</v>
      </c>
      <c r="L364">
        <v>7917</v>
      </c>
      <c r="M364" t="s">
        <v>731</v>
      </c>
    </row>
    <row r="365" spans="1:13" x14ac:dyDescent="0.35">
      <c r="A365" t="s">
        <v>732</v>
      </c>
      <c r="B365" t="s">
        <v>18</v>
      </c>
      <c r="C365">
        <v>465</v>
      </c>
      <c r="D365">
        <v>483.55</v>
      </c>
      <c r="E365">
        <v>465</v>
      </c>
      <c r="F365">
        <v>481.85</v>
      </c>
      <c r="G365">
        <v>480.95</v>
      </c>
      <c r="H365">
        <v>484.8</v>
      </c>
      <c r="I365">
        <v>475935</v>
      </c>
      <c r="J365">
        <v>226957977.55000001</v>
      </c>
      <c r="K365" s="13">
        <v>43994</v>
      </c>
      <c r="L365">
        <v>15265</v>
      </c>
      <c r="M365" t="s">
        <v>733</v>
      </c>
    </row>
    <row r="366" spans="1:13" x14ac:dyDescent="0.35">
      <c r="A366" t="s">
        <v>734</v>
      </c>
      <c r="B366" t="s">
        <v>18</v>
      </c>
      <c r="C366">
        <v>68.95</v>
      </c>
      <c r="D366">
        <v>71.5</v>
      </c>
      <c r="E366">
        <v>66.75</v>
      </c>
      <c r="F366">
        <v>70.2</v>
      </c>
      <c r="G366">
        <v>69.8</v>
      </c>
      <c r="H366">
        <v>70.400000000000006</v>
      </c>
      <c r="I366">
        <v>40091</v>
      </c>
      <c r="J366">
        <v>2775387.2</v>
      </c>
      <c r="K366" s="13">
        <v>43994</v>
      </c>
      <c r="L366">
        <v>863</v>
      </c>
      <c r="M366" t="s">
        <v>735</v>
      </c>
    </row>
    <row r="367" spans="1:13" x14ac:dyDescent="0.35">
      <c r="A367" t="s">
        <v>36</v>
      </c>
      <c r="B367" t="s">
        <v>18</v>
      </c>
      <c r="C367">
        <v>85.55</v>
      </c>
      <c r="D367">
        <v>88.35</v>
      </c>
      <c r="E367">
        <v>85.55</v>
      </c>
      <c r="F367">
        <v>86.65</v>
      </c>
      <c r="G367">
        <v>87</v>
      </c>
      <c r="H367">
        <v>90.05</v>
      </c>
      <c r="I367">
        <v>2481731</v>
      </c>
      <c r="J367">
        <v>214934121.94999999</v>
      </c>
      <c r="K367" s="13">
        <v>43994</v>
      </c>
      <c r="L367">
        <v>30091</v>
      </c>
      <c r="M367" t="s">
        <v>736</v>
      </c>
    </row>
    <row r="368" spans="1:13" x14ac:dyDescent="0.35">
      <c r="A368" t="s">
        <v>737</v>
      </c>
      <c r="B368" t="s">
        <v>18</v>
      </c>
      <c r="C368">
        <v>21.5</v>
      </c>
      <c r="D368">
        <v>23.65</v>
      </c>
      <c r="E368">
        <v>21.5</v>
      </c>
      <c r="F368">
        <v>23.45</v>
      </c>
      <c r="G368">
        <v>23.5</v>
      </c>
      <c r="H368">
        <v>23.8</v>
      </c>
      <c r="I368">
        <v>7270</v>
      </c>
      <c r="J368">
        <v>163269.79999999999</v>
      </c>
      <c r="K368" s="13">
        <v>43994</v>
      </c>
      <c r="L368">
        <v>97</v>
      </c>
      <c r="M368" t="s">
        <v>738</v>
      </c>
    </row>
    <row r="369" spans="1:13" x14ac:dyDescent="0.35">
      <c r="A369" t="s">
        <v>739</v>
      </c>
      <c r="B369" t="s">
        <v>18</v>
      </c>
      <c r="C369">
        <v>59.25</v>
      </c>
      <c r="D369">
        <v>70.8</v>
      </c>
      <c r="E369">
        <v>59</v>
      </c>
      <c r="F369">
        <v>68.099999999999994</v>
      </c>
      <c r="G369">
        <v>68</v>
      </c>
      <c r="H369">
        <v>64.8</v>
      </c>
      <c r="I369">
        <v>340840</v>
      </c>
      <c r="J369">
        <v>22567739.25</v>
      </c>
      <c r="K369" s="13">
        <v>43994</v>
      </c>
      <c r="L369">
        <v>3669</v>
      </c>
      <c r="M369" t="s">
        <v>740</v>
      </c>
    </row>
    <row r="370" spans="1:13" x14ac:dyDescent="0.35">
      <c r="A370" t="s">
        <v>741</v>
      </c>
      <c r="B370" t="s">
        <v>18</v>
      </c>
      <c r="C370">
        <v>212</v>
      </c>
      <c r="D370">
        <v>227.85</v>
      </c>
      <c r="E370">
        <v>209</v>
      </c>
      <c r="F370">
        <v>227.85</v>
      </c>
      <c r="G370">
        <v>227.85</v>
      </c>
      <c r="H370">
        <v>217</v>
      </c>
      <c r="I370">
        <v>12300</v>
      </c>
      <c r="J370">
        <v>2770419.6</v>
      </c>
      <c r="K370" s="13">
        <v>43994</v>
      </c>
      <c r="L370">
        <v>332</v>
      </c>
      <c r="M370" t="s">
        <v>742</v>
      </c>
    </row>
    <row r="371" spans="1:13" x14ac:dyDescent="0.35">
      <c r="A371" t="s">
        <v>743</v>
      </c>
      <c r="B371" t="s">
        <v>18</v>
      </c>
      <c r="C371">
        <v>200</v>
      </c>
      <c r="D371">
        <v>209</v>
      </c>
      <c r="E371">
        <v>197.4</v>
      </c>
      <c r="F371">
        <v>207.45</v>
      </c>
      <c r="G371">
        <v>208.5</v>
      </c>
      <c r="H371">
        <v>202.35</v>
      </c>
      <c r="I371">
        <v>31472</v>
      </c>
      <c r="J371">
        <v>6441995.8499999996</v>
      </c>
      <c r="K371" s="13">
        <v>43994</v>
      </c>
      <c r="L371">
        <v>1057</v>
      </c>
      <c r="M371" t="s">
        <v>744</v>
      </c>
    </row>
    <row r="372" spans="1:13" x14ac:dyDescent="0.35">
      <c r="A372" t="s">
        <v>745</v>
      </c>
      <c r="B372" t="s">
        <v>18</v>
      </c>
      <c r="C372">
        <v>5.3</v>
      </c>
      <c r="D372">
        <v>5.6</v>
      </c>
      <c r="E372">
        <v>5.0999999999999996</v>
      </c>
      <c r="F372">
        <v>5.55</v>
      </c>
      <c r="G372">
        <v>5.6</v>
      </c>
      <c r="H372">
        <v>5.35</v>
      </c>
      <c r="I372">
        <v>5376</v>
      </c>
      <c r="J372">
        <v>29194.5</v>
      </c>
      <c r="K372" s="13">
        <v>43994</v>
      </c>
      <c r="L372">
        <v>39</v>
      </c>
      <c r="M372" t="s">
        <v>746</v>
      </c>
    </row>
    <row r="373" spans="1:13" x14ac:dyDescent="0.35">
      <c r="A373" t="s">
        <v>747</v>
      </c>
      <c r="B373" t="s">
        <v>18</v>
      </c>
      <c r="C373">
        <v>125</v>
      </c>
      <c r="D373">
        <v>132.9</v>
      </c>
      <c r="E373">
        <v>121.35</v>
      </c>
      <c r="F373">
        <v>131.1</v>
      </c>
      <c r="G373">
        <v>130.25</v>
      </c>
      <c r="H373">
        <v>132.05000000000001</v>
      </c>
      <c r="I373">
        <v>1465484</v>
      </c>
      <c r="J373">
        <v>187932594.05000001</v>
      </c>
      <c r="K373" s="13">
        <v>43994</v>
      </c>
      <c r="L373">
        <v>14473</v>
      </c>
      <c r="M373" t="s">
        <v>748</v>
      </c>
    </row>
    <row r="374" spans="1:13" x14ac:dyDescent="0.35">
      <c r="A374" t="s">
        <v>749</v>
      </c>
      <c r="B374" t="s">
        <v>18</v>
      </c>
      <c r="C374">
        <v>10.7</v>
      </c>
      <c r="D374">
        <v>11.2</v>
      </c>
      <c r="E374">
        <v>10.199999999999999</v>
      </c>
      <c r="F374">
        <v>11.15</v>
      </c>
      <c r="G374">
        <v>11</v>
      </c>
      <c r="H374">
        <v>11</v>
      </c>
      <c r="I374">
        <v>424129</v>
      </c>
      <c r="J374">
        <v>4581713.8</v>
      </c>
      <c r="K374" s="13">
        <v>43994</v>
      </c>
      <c r="L374">
        <v>977</v>
      </c>
      <c r="M374" t="s">
        <v>750</v>
      </c>
    </row>
    <row r="375" spans="1:13" x14ac:dyDescent="0.35">
      <c r="A375" t="s">
        <v>751</v>
      </c>
      <c r="B375" t="s">
        <v>18</v>
      </c>
      <c r="C375">
        <v>628</v>
      </c>
      <c r="D375">
        <v>667</v>
      </c>
      <c r="E375">
        <v>609.79999999999995</v>
      </c>
      <c r="F375">
        <v>647</v>
      </c>
      <c r="G375">
        <v>644.5</v>
      </c>
      <c r="H375">
        <v>641.1</v>
      </c>
      <c r="I375">
        <v>466682</v>
      </c>
      <c r="J375">
        <v>303335377.55000001</v>
      </c>
      <c r="K375" s="13">
        <v>43994</v>
      </c>
      <c r="L375">
        <v>21243</v>
      </c>
      <c r="M375" t="s">
        <v>752</v>
      </c>
    </row>
    <row r="376" spans="1:13" x14ac:dyDescent="0.35">
      <c r="A376" t="s">
        <v>753</v>
      </c>
      <c r="B376" t="s">
        <v>18</v>
      </c>
      <c r="C376">
        <v>6.9</v>
      </c>
      <c r="D376">
        <v>6.9</v>
      </c>
      <c r="E376">
        <v>6.3</v>
      </c>
      <c r="F376">
        <v>6.9</v>
      </c>
      <c r="G376">
        <v>6.9</v>
      </c>
      <c r="H376">
        <v>6.6</v>
      </c>
      <c r="I376">
        <v>25638</v>
      </c>
      <c r="J376">
        <v>173424.8</v>
      </c>
      <c r="K376" s="13">
        <v>43994</v>
      </c>
      <c r="L376">
        <v>87</v>
      </c>
      <c r="M376" t="s">
        <v>754</v>
      </c>
    </row>
    <row r="377" spans="1:13" x14ac:dyDescent="0.35">
      <c r="A377" t="s">
        <v>755</v>
      </c>
      <c r="B377" t="s">
        <v>18</v>
      </c>
      <c r="C377">
        <v>14.6</v>
      </c>
      <c r="D377">
        <v>15.2</v>
      </c>
      <c r="E377">
        <v>14.6</v>
      </c>
      <c r="F377">
        <v>14.65</v>
      </c>
      <c r="G377">
        <v>14.6</v>
      </c>
      <c r="H377">
        <v>15.35</v>
      </c>
      <c r="I377">
        <v>2124607</v>
      </c>
      <c r="J377">
        <v>31200886.100000001</v>
      </c>
      <c r="K377" s="13">
        <v>43994</v>
      </c>
      <c r="L377">
        <v>5474</v>
      </c>
      <c r="M377" t="s">
        <v>756</v>
      </c>
    </row>
    <row r="378" spans="1:13" x14ac:dyDescent="0.35">
      <c r="A378" t="s">
        <v>755</v>
      </c>
      <c r="B378" t="s">
        <v>3452</v>
      </c>
      <c r="C378">
        <v>206</v>
      </c>
      <c r="D378">
        <v>207</v>
      </c>
      <c r="E378">
        <v>200.8</v>
      </c>
      <c r="F378">
        <v>205.28</v>
      </c>
      <c r="G378">
        <v>204.25</v>
      </c>
      <c r="H378">
        <v>215</v>
      </c>
      <c r="I378">
        <v>515</v>
      </c>
      <c r="J378">
        <v>105721.25</v>
      </c>
      <c r="K378" s="13">
        <v>43994</v>
      </c>
      <c r="L378">
        <v>9</v>
      </c>
      <c r="M378" t="s">
        <v>3453</v>
      </c>
    </row>
    <row r="379" spans="1:13" x14ac:dyDescent="0.35">
      <c r="A379" t="s">
        <v>755</v>
      </c>
      <c r="B379" t="s">
        <v>3454</v>
      </c>
      <c r="C379">
        <v>212.01</v>
      </c>
      <c r="D379">
        <v>212.01</v>
      </c>
      <c r="E379">
        <v>212.01</v>
      </c>
      <c r="F379">
        <v>212.01</v>
      </c>
      <c r="G379">
        <v>212.01</v>
      </c>
      <c r="H379">
        <v>237.9</v>
      </c>
      <c r="I379">
        <v>75</v>
      </c>
      <c r="J379">
        <v>15900.75</v>
      </c>
      <c r="K379" s="13">
        <v>43994</v>
      </c>
      <c r="L379">
        <v>1</v>
      </c>
      <c r="M379" t="s">
        <v>3455</v>
      </c>
    </row>
    <row r="380" spans="1:13" x14ac:dyDescent="0.35">
      <c r="A380" t="s">
        <v>755</v>
      </c>
      <c r="B380" t="s">
        <v>3456</v>
      </c>
      <c r="C380">
        <v>215.75</v>
      </c>
      <c r="D380">
        <v>220</v>
      </c>
      <c r="E380">
        <v>205.3</v>
      </c>
      <c r="F380">
        <v>219.62</v>
      </c>
      <c r="G380">
        <v>218.5</v>
      </c>
      <c r="H380">
        <v>220</v>
      </c>
      <c r="I380">
        <v>732</v>
      </c>
      <c r="J380">
        <v>155249.29999999999</v>
      </c>
      <c r="K380" s="13">
        <v>43994</v>
      </c>
      <c r="L380">
        <v>15</v>
      </c>
      <c r="M380" t="s">
        <v>3457</v>
      </c>
    </row>
    <row r="381" spans="1:13" x14ac:dyDescent="0.35">
      <c r="A381" t="s">
        <v>755</v>
      </c>
      <c r="B381" t="s">
        <v>3458</v>
      </c>
      <c r="C381">
        <v>182.53</v>
      </c>
      <c r="D381">
        <v>218</v>
      </c>
      <c r="E381">
        <v>182.53</v>
      </c>
      <c r="F381">
        <v>218</v>
      </c>
      <c r="G381">
        <v>218</v>
      </c>
      <c r="H381">
        <v>212.07</v>
      </c>
      <c r="I381">
        <v>870</v>
      </c>
      <c r="J381">
        <v>173520.15</v>
      </c>
      <c r="K381" s="13">
        <v>43994</v>
      </c>
      <c r="L381">
        <v>11</v>
      </c>
      <c r="M381" t="s">
        <v>3459</v>
      </c>
    </row>
    <row r="382" spans="1:13" x14ac:dyDescent="0.35">
      <c r="A382" t="s">
        <v>755</v>
      </c>
      <c r="B382" t="s">
        <v>3460</v>
      </c>
      <c r="C382">
        <v>227.55</v>
      </c>
      <c r="D382">
        <v>227.55</v>
      </c>
      <c r="E382">
        <v>219.89</v>
      </c>
      <c r="F382">
        <v>219.9</v>
      </c>
      <c r="G382">
        <v>220</v>
      </c>
      <c r="H382">
        <v>210</v>
      </c>
      <c r="I382">
        <v>240</v>
      </c>
      <c r="J382">
        <v>53164.9</v>
      </c>
      <c r="K382" s="13">
        <v>43994</v>
      </c>
      <c r="L382">
        <v>9</v>
      </c>
      <c r="M382" t="s">
        <v>3461</v>
      </c>
    </row>
    <row r="383" spans="1:13" x14ac:dyDescent="0.35">
      <c r="A383" t="s">
        <v>755</v>
      </c>
      <c r="B383" t="s">
        <v>3462</v>
      </c>
      <c r="C383">
        <v>210</v>
      </c>
      <c r="D383">
        <v>210</v>
      </c>
      <c r="E383">
        <v>203</v>
      </c>
      <c r="F383">
        <v>204.07</v>
      </c>
      <c r="G383">
        <v>203</v>
      </c>
      <c r="H383">
        <v>207</v>
      </c>
      <c r="I383">
        <v>81</v>
      </c>
      <c r="J383">
        <v>16678</v>
      </c>
      <c r="K383" s="13">
        <v>43994</v>
      </c>
      <c r="L383">
        <v>3</v>
      </c>
      <c r="M383" t="s">
        <v>3463</v>
      </c>
    </row>
    <row r="384" spans="1:13" x14ac:dyDescent="0.35">
      <c r="A384" t="s">
        <v>755</v>
      </c>
      <c r="B384" t="s">
        <v>3464</v>
      </c>
      <c r="C384">
        <v>210</v>
      </c>
      <c r="D384">
        <v>210</v>
      </c>
      <c r="E384">
        <v>204</v>
      </c>
      <c r="F384">
        <v>206.4</v>
      </c>
      <c r="G384">
        <v>204</v>
      </c>
      <c r="H384">
        <v>229</v>
      </c>
      <c r="I384">
        <v>50</v>
      </c>
      <c r="J384">
        <v>10320</v>
      </c>
      <c r="K384" s="13">
        <v>43994</v>
      </c>
      <c r="L384">
        <v>2</v>
      </c>
      <c r="M384" t="s">
        <v>3465</v>
      </c>
    </row>
    <row r="385" spans="1:13" x14ac:dyDescent="0.35">
      <c r="A385" t="s">
        <v>757</v>
      </c>
      <c r="B385" t="s">
        <v>18</v>
      </c>
      <c r="C385">
        <v>168.9</v>
      </c>
      <c r="D385">
        <v>177.4</v>
      </c>
      <c r="E385">
        <v>166.05</v>
      </c>
      <c r="F385">
        <v>172.2</v>
      </c>
      <c r="G385">
        <v>169.9</v>
      </c>
      <c r="H385">
        <v>174.35</v>
      </c>
      <c r="I385">
        <v>796</v>
      </c>
      <c r="J385">
        <v>136011.45000000001</v>
      </c>
      <c r="K385" s="13">
        <v>43994</v>
      </c>
      <c r="L385">
        <v>172</v>
      </c>
      <c r="M385" t="s">
        <v>758</v>
      </c>
    </row>
    <row r="386" spans="1:13" x14ac:dyDescent="0.35">
      <c r="A386" t="s">
        <v>759</v>
      </c>
      <c r="B386" t="s">
        <v>18</v>
      </c>
      <c r="C386">
        <v>580</v>
      </c>
      <c r="D386">
        <v>610</v>
      </c>
      <c r="E386">
        <v>545.6</v>
      </c>
      <c r="F386">
        <v>601.35</v>
      </c>
      <c r="G386">
        <v>602.25</v>
      </c>
      <c r="H386">
        <v>603.85</v>
      </c>
      <c r="I386">
        <v>8128</v>
      </c>
      <c r="J386">
        <v>4741335.1500000004</v>
      </c>
      <c r="K386" s="13">
        <v>43994</v>
      </c>
      <c r="L386">
        <v>703</v>
      </c>
      <c r="M386" t="s">
        <v>760</v>
      </c>
    </row>
    <row r="387" spans="1:13" x14ac:dyDescent="0.35">
      <c r="A387" t="s">
        <v>3466</v>
      </c>
      <c r="B387" t="s">
        <v>3414</v>
      </c>
      <c r="C387">
        <v>0.65</v>
      </c>
      <c r="D387">
        <v>0.7</v>
      </c>
      <c r="E387">
        <v>0.65</v>
      </c>
      <c r="F387">
        <v>0.7</v>
      </c>
      <c r="G387">
        <v>0.7</v>
      </c>
      <c r="H387">
        <v>0.7</v>
      </c>
      <c r="I387">
        <v>46849</v>
      </c>
      <c r="J387">
        <v>30888.3</v>
      </c>
      <c r="K387" s="13">
        <v>43994</v>
      </c>
      <c r="L387">
        <v>42</v>
      </c>
      <c r="M387" t="s">
        <v>3467</v>
      </c>
    </row>
    <row r="388" spans="1:13" x14ac:dyDescent="0.35">
      <c r="A388" t="s">
        <v>761</v>
      </c>
      <c r="B388" t="s">
        <v>18</v>
      </c>
      <c r="C388">
        <v>303.05</v>
      </c>
      <c r="D388">
        <v>326</v>
      </c>
      <c r="E388">
        <v>295.5</v>
      </c>
      <c r="F388">
        <v>320.45</v>
      </c>
      <c r="G388">
        <v>321</v>
      </c>
      <c r="H388">
        <v>314.5</v>
      </c>
      <c r="I388">
        <v>6005</v>
      </c>
      <c r="J388">
        <v>1861179.65</v>
      </c>
      <c r="K388" s="13">
        <v>43994</v>
      </c>
      <c r="L388">
        <v>372</v>
      </c>
      <c r="M388" t="s">
        <v>762</v>
      </c>
    </row>
    <row r="389" spans="1:13" x14ac:dyDescent="0.35">
      <c r="A389" t="s">
        <v>3468</v>
      </c>
      <c r="B389" t="s">
        <v>3391</v>
      </c>
      <c r="C389">
        <v>8.6</v>
      </c>
      <c r="D389">
        <v>8.6</v>
      </c>
      <c r="E389">
        <v>8.6</v>
      </c>
      <c r="F389">
        <v>8.6</v>
      </c>
      <c r="G389">
        <v>8.6</v>
      </c>
      <c r="H389">
        <v>9.0500000000000007</v>
      </c>
      <c r="I389">
        <v>1373</v>
      </c>
      <c r="J389">
        <v>11807.8</v>
      </c>
      <c r="K389" s="13">
        <v>43994</v>
      </c>
      <c r="L389">
        <v>16</v>
      </c>
      <c r="M389" t="s">
        <v>3469</v>
      </c>
    </row>
    <row r="390" spans="1:13" x14ac:dyDescent="0.35">
      <c r="A390" t="s">
        <v>3470</v>
      </c>
      <c r="B390" t="s">
        <v>3414</v>
      </c>
      <c r="C390">
        <v>2.1</v>
      </c>
      <c r="D390">
        <v>2.1</v>
      </c>
      <c r="E390">
        <v>2.1</v>
      </c>
      <c r="F390">
        <v>2.1</v>
      </c>
      <c r="G390">
        <v>2.1</v>
      </c>
      <c r="H390">
        <v>2</v>
      </c>
      <c r="I390">
        <v>12632</v>
      </c>
      <c r="J390">
        <v>26527.200000000001</v>
      </c>
      <c r="K390" s="13">
        <v>43994</v>
      </c>
      <c r="L390">
        <v>18</v>
      </c>
      <c r="M390" t="s">
        <v>3471</v>
      </c>
    </row>
    <row r="391" spans="1:13" x14ac:dyDescent="0.35">
      <c r="A391" t="s">
        <v>763</v>
      </c>
      <c r="B391" t="s">
        <v>18</v>
      </c>
      <c r="C391">
        <v>6.65</v>
      </c>
      <c r="D391">
        <v>6.65</v>
      </c>
      <c r="E391">
        <v>6.35</v>
      </c>
      <c r="F391">
        <v>6.65</v>
      </c>
      <c r="G391">
        <v>6.65</v>
      </c>
      <c r="H391">
        <v>6.35</v>
      </c>
      <c r="I391">
        <v>19891373</v>
      </c>
      <c r="J391">
        <v>131552779.90000001</v>
      </c>
      <c r="K391" s="13">
        <v>43994</v>
      </c>
      <c r="L391">
        <v>6326</v>
      </c>
      <c r="M391" t="s">
        <v>764</v>
      </c>
    </row>
    <row r="392" spans="1:13" x14ac:dyDescent="0.35">
      <c r="A392" t="s">
        <v>37</v>
      </c>
      <c r="B392" t="s">
        <v>18</v>
      </c>
      <c r="C392">
        <v>2310</v>
      </c>
      <c r="D392">
        <v>2400.3000000000002</v>
      </c>
      <c r="E392">
        <v>2302.9</v>
      </c>
      <c r="F392">
        <v>2395.1</v>
      </c>
      <c r="G392">
        <v>2390.9</v>
      </c>
      <c r="H392">
        <v>2356.3000000000002</v>
      </c>
      <c r="I392">
        <v>589371</v>
      </c>
      <c r="J392">
        <v>1390991109.4000001</v>
      </c>
      <c r="K392" s="13">
        <v>43994</v>
      </c>
      <c r="L392">
        <v>37165</v>
      </c>
      <c r="M392" t="s">
        <v>765</v>
      </c>
    </row>
    <row r="393" spans="1:13" x14ac:dyDescent="0.35">
      <c r="A393" t="s">
        <v>766</v>
      </c>
      <c r="B393" t="s">
        <v>18</v>
      </c>
      <c r="C393">
        <v>4850</v>
      </c>
      <c r="D393">
        <v>5205</v>
      </c>
      <c r="E393">
        <v>4835.2</v>
      </c>
      <c r="F393">
        <v>4975.7</v>
      </c>
      <c r="G393">
        <v>4935</v>
      </c>
      <c r="H393">
        <v>4976.45</v>
      </c>
      <c r="I393">
        <v>316385</v>
      </c>
      <c r="J393">
        <v>1601266891.05</v>
      </c>
      <c r="K393" s="13">
        <v>43994</v>
      </c>
      <c r="L393">
        <v>38443</v>
      </c>
      <c r="M393" t="s">
        <v>767</v>
      </c>
    </row>
    <row r="394" spans="1:13" x14ac:dyDescent="0.35">
      <c r="A394" t="s">
        <v>768</v>
      </c>
      <c r="B394" t="s">
        <v>18</v>
      </c>
      <c r="C394">
        <v>145</v>
      </c>
      <c r="D394">
        <v>154.85</v>
      </c>
      <c r="E394">
        <v>143.80000000000001</v>
      </c>
      <c r="F394">
        <v>154.05000000000001</v>
      </c>
      <c r="G394">
        <v>153.69999999999999</v>
      </c>
      <c r="H394">
        <v>150.75</v>
      </c>
      <c r="I394">
        <v>11237376</v>
      </c>
      <c r="J394">
        <v>1682539303.05</v>
      </c>
      <c r="K394" s="13">
        <v>43994</v>
      </c>
      <c r="L394">
        <v>50717</v>
      </c>
      <c r="M394" t="s">
        <v>769</v>
      </c>
    </row>
    <row r="395" spans="1:13" x14ac:dyDescent="0.35">
      <c r="A395" t="s">
        <v>770</v>
      </c>
      <c r="B395" t="s">
        <v>18</v>
      </c>
      <c r="C395">
        <v>79</v>
      </c>
      <c r="D395">
        <v>83.5</v>
      </c>
      <c r="E395">
        <v>79</v>
      </c>
      <c r="F395">
        <v>82.9</v>
      </c>
      <c r="G395">
        <v>82.7</v>
      </c>
      <c r="H395">
        <v>83.7</v>
      </c>
      <c r="I395">
        <v>124194</v>
      </c>
      <c r="J395">
        <v>10109234.25</v>
      </c>
      <c r="K395" s="13">
        <v>43994</v>
      </c>
      <c r="L395">
        <v>1850</v>
      </c>
      <c r="M395" t="s">
        <v>771</v>
      </c>
    </row>
    <row r="396" spans="1:13" x14ac:dyDescent="0.35">
      <c r="A396" t="s">
        <v>772</v>
      </c>
      <c r="B396" t="s">
        <v>18</v>
      </c>
      <c r="C396">
        <v>2312</v>
      </c>
      <c r="D396">
        <v>2438</v>
      </c>
      <c r="E396">
        <v>2312</v>
      </c>
      <c r="F396">
        <v>2397.8000000000002</v>
      </c>
      <c r="G396">
        <v>2400</v>
      </c>
      <c r="H396">
        <v>2406.5</v>
      </c>
      <c r="I396">
        <v>415417</v>
      </c>
      <c r="J396">
        <v>990010840.29999995</v>
      </c>
      <c r="K396" s="13">
        <v>43994</v>
      </c>
      <c r="L396">
        <v>29018</v>
      </c>
      <c r="M396" t="s">
        <v>773</v>
      </c>
    </row>
    <row r="397" spans="1:13" x14ac:dyDescent="0.35">
      <c r="A397" t="s">
        <v>774</v>
      </c>
      <c r="B397" t="s">
        <v>18</v>
      </c>
      <c r="C397">
        <v>0.65</v>
      </c>
      <c r="D397">
        <v>0.7</v>
      </c>
      <c r="E397">
        <v>0.6</v>
      </c>
      <c r="F397">
        <v>0.6</v>
      </c>
      <c r="G397">
        <v>0.65</v>
      </c>
      <c r="H397">
        <v>0.65</v>
      </c>
      <c r="I397">
        <v>98023</v>
      </c>
      <c r="J397">
        <v>62097.599999999999</v>
      </c>
      <c r="K397" s="13">
        <v>43994</v>
      </c>
      <c r="L397">
        <v>93</v>
      </c>
      <c r="M397" t="s">
        <v>775</v>
      </c>
    </row>
    <row r="398" spans="1:13" x14ac:dyDescent="0.35">
      <c r="A398" t="s">
        <v>776</v>
      </c>
      <c r="B398" t="s">
        <v>18</v>
      </c>
      <c r="C398">
        <v>42</v>
      </c>
      <c r="D398">
        <v>48.45</v>
      </c>
      <c r="E398">
        <v>42</v>
      </c>
      <c r="F398">
        <v>45.95</v>
      </c>
      <c r="G398">
        <v>46</v>
      </c>
      <c r="H398">
        <v>45.1</v>
      </c>
      <c r="I398">
        <v>185374</v>
      </c>
      <c r="J398">
        <v>8375054.5</v>
      </c>
      <c r="K398" s="13">
        <v>43994</v>
      </c>
      <c r="L398">
        <v>1440</v>
      </c>
      <c r="M398" t="s">
        <v>777</v>
      </c>
    </row>
    <row r="399" spans="1:13" x14ac:dyDescent="0.35">
      <c r="A399" t="s">
        <v>778</v>
      </c>
      <c r="B399" t="s">
        <v>18</v>
      </c>
      <c r="C399">
        <v>122.75</v>
      </c>
      <c r="D399">
        <v>135.75</v>
      </c>
      <c r="E399">
        <v>122.75</v>
      </c>
      <c r="F399">
        <v>133.4</v>
      </c>
      <c r="G399">
        <v>133.19999999999999</v>
      </c>
      <c r="H399">
        <v>133</v>
      </c>
      <c r="I399">
        <v>101479</v>
      </c>
      <c r="J399">
        <v>13324304.25</v>
      </c>
      <c r="K399" s="13">
        <v>43994</v>
      </c>
      <c r="L399">
        <v>2215</v>
      </c>
      <c r="M399" t="s">
        <v>779</v>
      </c>
    </row>
    <row r="400" spans="1:13" x14ac:dyDescent="0.35">
      <c r="A400" t="s">
        <v>780</v>
      </c>
      <c r="B400" t="s">
        <v>18</v>
      </c>
      <c r="C400">
        <v>26</v>
      </c>
      <c r="D400">
        <v>27.35</v>
      </c>
      <c r="E400">
        <v>25.85</v>
      </c>
      <c r="F400">
        <v>26.95</v>
      </c>
      <c r="G400">
        <v>26.8</v>
      </c>
      <c r="H400">
        <v>26.45</v>
      </c>
      <c r="I400">
        <v>12629</v>
      </c>
      <c r="J400">
        <v>335745.75</v>
      </c>
      <c r="K400" s="13">
        <v>43994</v>
      </c>
      <c r="L400">
        <v>149</v>
      </c>
      <c r="M400" t="s">
        <v>781</v>
      </c>
    </row>
    <row r="401" spans="1:13" x14ac:dyDescent="0.35">
      <c r="A401" t="s">
        <v>782</v>
      </c>
      <c r="B401" t="s">
        <v>18</v>
      </c>
      <c r="C401">
        <v>8.8000000000000007</v>
      </c>
      <c r="D401">
        <v>8.9</v>
      </c>
      <c r="E401">
        <v>8.0500000000000007</v>
      </c>
      <c r="F401">
        <v>8.4499999999999993</v>
      </c>
      <c r="G401">
        <v>8.65</v>
      </c>
      <c r="H401">
        <v>8.9499999999999993</v>
      </c>
      <c r="I401">
        <v>27632</v>
      </c>
      <c r="J401">
        <v>230396.85</v>
      </c>
      <c r="K401" s="13">
        <v>43994</v>
      </c>
      <c r="L401">
        <v>139</v>
      </c>
      <c r="M401" t="s">
        <v>783</v>
      </c>
    </row>
    <row r="402" spans="1:13" x14ac:dyDescent="0.35">
      <c r="A402" t="s">
        <v>3472</v>
      </c>
      <c r="B402" t="s">
        <v>3391</v>
      </c>
      <c r="C402">
        <v>52.15</v>
      </c>
      <c r="D402">
        <v>54.9</v>
      </c>
      <c r="E402">
        <v>52.15</v>
      </c>
      <c r="F402">
        <v>54.9</v>
      </c>
      <c r="G402">
        <v>54.9</v>
      </c>
      <c r="H402">
        <v>54.85</v>
      </c>
      <c r="I402">
        <v>1217</v>
      </c>
      <c r="J402">
        <v>64152.75</v>
      </c>
      <c r="K402" s="13">
        <v>43994</v>
      </c>
      <c r="L402">
        <v>44</v>
      </c>
      <c r="M402" t="s">
        <v>3473</v>
      </c>
    </row>
    <row r="403" spans="1:13" x14ac:dyDescent="0.35">
      <c r="A403" t="s">
        <v>784</v>
      </c>
      <c r="B403" t="s">
        <v>18</v>
      </c>
      <c r="C403">
        <v>1.45</v>
      </c>
      <c r="D403">
        <v>1.45</v>
      </c>
      <c r="E403">
        <v>1.35</v>
      </c>
      <c r="F403">
        <v>1.35</v>
      </c>
      <c r="G403">
        <v>1.4</v>
      </c>
      <c r="H403">
        <v>1.4</v>
      </c>
      <c r="I403">
        <v>236270</v>
      </c>
      <c r="J403">
        <v>329747.75</v>
      </c>
      <c r="K403" s="13">
        <v>43994</v>
      </c>
      <c r="L403">
        <v>91</v>
      </c>
      <c r="M403" t="s">
        <v>785</v>
      </c>
    </row>
    <row r="404" spans="1:13" x14ac:dyDescent="0.35">
      <c r="A404" t="s">
        <v>786</v>
      </c>
      <c r="B404" t="s">
        <v>18</v>
      </c>
      <c r="C404">
        <v>222.5</v>
      </c>
      <c r="D404">
        <v>226.35</v>
      </c>
      <c r="E404">
        <v>220.8</v>
      </c>
      <c r="F404">
        <v>224.85</v>
      </c>
      <c r="G404">
        <v>224</v>
      </c>
      <c r="H404">
        <v>230.7</v>
      </c>
      <c r="I404">
        <v>124571</v>
      </c>
      <c r="J404">
        <v>27932161.649999999</v>
      </c>
      <c r="K404" s="13">
        <v>43994</v>
      </c>
      <c r="L404">
        <v>5692</v>
      </c>
      <c r="M404" t="s">
        <v>787</v>
      </c>
    </row>
    <row r="405" spans="1:13" x14ac:dyDescent="0.35">
      <c r="A405" t="s">
        <v>788</v>
      </c>
      <c r="B405" t="s">
        <v>18</v>
      </c>
      <c r="C405">
        <v>3992</v>
      </c>
      <c r="D405">
        <v>4036.6</v>
      </c>
      <c r="E405">
        <v>3981</v>
      </c>
      <c r="F405">
        <v>4007.95</v>
      </c>
      <c r="G405">
        <v>4006</v>
      </c>
      <c r="H405">
        <v>4057.6</v>
      </c>
      <c r="I405">
        <v>782308</v>
      </c>
      <c r="J405">
        <v>3135290978.3000002</v>
      </c>
      <c r="K405" s="13">
        <v>43994</v>
      </c>
      <c r="L405">
        <v>57567</v>
      </c>
      <c r="M405" t="s">
        <v>789</v>
      </c>
    </row>
    <row r="406" spans="1:13" x14ac:dyDescent="0.35">
      <c r="A406" t="s">
        <v>790</v>
      </c>
      <c r="B406" t="s">
        <v>18</v>
      </c>
      <c r="C406">
        <v>19.850000000000001</v>
      </c>
      <c r="D406">
        <v>19.850000000000001</v>
      </c>
      <c r="E406">
        <v>19.149999999999999</v>
      </c>
      <c r="F406">
        <v>19.55</v>
      </c>
      <c r="G406">
        <v>19.55</v>
      </c>
      <c r="H406">
        <v>20.05</v>
      </c>
      <c r="I406">
        <v>1743</v>
      </c>
      <c r="J406">
        <v>33805.75</v>
      </c>
      <c r="K406" s="13">
        <v>43994</v>
      </c>
      <c r="L406">
        <v>29</v>
      </c>
      <c r="M406" t="s">
        <v>791</v>
      </c>
    </row>
    <row r="407" spans="1:13" x14ac:dyDescent="0.35">
      <c r="A407" t="s">
        <v>792</v>
      </c>
      <c r="B407" t="s">
        <v>18</v>
      </c>
      <c r="C407">
        <v>160.15</v>
      </c>
      <c r="D407">
        <v>164</v>
      </c>
      <c r="E407">
        <v>147.15</v>
      </c>
      <c r="F407">
        <v>162.6</v>
      </c>
      <c r="G407">
        <v>163.30000000000001</v>
      </c>
      <c r="H407">
        <v>158.44999999999999</v>
      </c>
      <c r="I407">
        <v>2588</v>
      </c>
      <c r="J407">
        <v>410495.05</v>
      </c>
      <c r="K407" s="13">
        <v>43994</v>
      </c>
      <c r="L407">
        <v>158</v>
      </c>
      <c r="M407" t="s">
        <v>793</v>
      </c>
    </row>
    <row r="408" spans="1:13" x14ac:dyDescent="0.35">
      <c r="A408" t="s">
        <v>794</v>
      </c>
      <c r="B408" t="s">
        <v>18</v>
      </c>
      <c r="C408">
        <v>3.95</v>
      </c>
      <c r="D408">
        <v>3.95</v>
      </c>
      <c r="E408">
        <v>3.95</v>
      </c>
      <c r="F408">
        <v>3.95</v>
      </c>
      <c r="G408">
        <v>3.95</v>
      </c>
      <c r="H408">
        <v>4.1500000000000004</v>
      </c>
      <c r="I408">
        <v>40214</v>
      </c>
      <c r="J408">
        <v>158845.29999999999</v>
      </c>
      <c r="K408" s="13">
        <v>43994</v>
      </c>
      <c r="L408">
        <v>66</v>
      </c>
      <c r="M408" t="s">
        <v>795</v>
      </c>
    </row>
    <row r="409" spans="1:13" x14ac:dyDescent="0.35">
      <c r="A409" t="s">
        <v>796</v>
      </c>
      <c r="B409" t="s">
        <v>18</v>
      </c>
      <c r="C409">
        <v>60</v>
      </c>
      <c r="D409">
        <v>62</v>
      </c>
      <c r="E409">
        <v>58</v>
      </c>
      <c r="F409">
        <v>60.35</v>
      </c>
      <c r="G409">
        <v>60.9</v>
      </c>
      <c r="H409">
        <v>61.6</v>
      </c>
      <c r="I409">
        <v>12317</v>
      </c>
      <c r="J409">
        <v>735259</v>
      </c>
      <c r="K409" s="13">
        <v>43994</v>
      </c>
      <c r="L409">
        <v>554</v>
      </c>
      <c r="M409" t="s">
        <v>797</v>
      </c>
    </row>
    <row r="410" spans="1:13" x14ac:dyDescent="0.35">
      <c r="A410" t="s">
        <v>798</v>
      </c>
      <c r="B410" t="s">
        <v>18</v>
      </c>
      <c r="C410">
        <v>23.95</v>
      </c>
      <c r="D410">
        <v>26.4</v>
      </c>
      <c r="E410">
        <v>23.9</v>
      </c>
      <c r="F410">
        <v>25.75</v>
      </c>
      <c r="G410">
        <v>26</v>
      </c>
      <c r="H410">
        <v>25.15</v>
      </c>
      <c r="I410">
        <v>2800682</v>
      </c>
      <c r="J410">
        <v>70583190.049999997</v>
      </c>
      <c r="K410" s="13">
        <v>43994</v>
      </c>
      <c r="L410">
        <v>7609</v>
      </c>
      <c r="M410" t="s">
        <v>799</v>
      </c>
    </row>
    <row r="411" spans="1:13" x14ac:dyDescent="0.35">
      <c r="A411" t="s">
        <v>800</v>
      </c>
      <c r="B411" t="s">
        <v>18</v>
      </c>
      <c r="C411">
        <v>579</v>
      </c>
      <c r="D411">
        <v>634.04999999999995</v>
      </c>
      <c r="E411">
        <v>572</v>
      </c>
      <c r="F411">
        <v>634.04999999999995</v>
      </c>
      <c r="G411">
        <v>634.04999999999995</v>
      </c>
      <c r="H411">
        <v>576.45000000000005</v>
      </c>
      <c r="I411">
        <v>28381</v>
      </c>
      <c r="J411">
        <v>17203649.949999999</v>
      </c>
      <c r="K411" s="13">
        <v>43994</v>
      </c>
      <c r="L411">
        <v>1945</v>
      </c>
      <c r="M411" t="s">
        <v>801</v>
      </c>
    </row>
    <row r="412" spans="1:13" x14ac:dyDescent="0.35">
      <c r="A412" t="s">
        <v>802</v>
      </c>
      <c r="B412" t="s">
        <v>18</v>
      </c>
      <c r="C412">
        <v>116</v>
      </c>
      <c r="D412">
        <v>119.75</v>
      </c>
      <c r="E412">
        <v>112.5</v>
      </c>
      <c r="F412">
        <v>118.4</v>
      </c>
      <c r="G412">
        <v>117.1</v>
      </c>
      <c r="H412">
        <v>119.2</v>
      </c>
      <c r="I412">
        <v>12332</v>
      </c>
      <c r="J412">
        <v>1436715.65</v>
      </c>
      <c r="K412" s="13">
        <v>43994</v>
      </c>
      <c r="L412">
        <v>457</v>
      </c>
      <c r="M412" t="s">
        <v>803</v>
      </c>
    </row>
    <row r="413" spans="1:13" x14ac:dyDescent="0.35">
      <c r="A413" t="s">
        <v>3474</v>
      </c>
      <c r="B413" t="s">
        <v>3381</v>
      </c>
      <c r="C413">
        <v>26.95</v>
      </c>
      <c r="D413">
        <v>26.95</v>
      </c>
      <c r="E413">
        <v>26.95</v>
      </c>
      <c r="F413">
        <v>26.95</v>
      </c>
      <c r="G413">
        <v>26.95</v>
      </c>
      <c r="H413">
        <v>25.7</v>
      </c>
      <c r="I413">
        <v>8000</v>
      </c>
      <c r="J413">
        <v>215600</v>
      </c>
      <c r="K413" s="13">
        <v>43994</v>
      </c>
      <c r="L413">
        <v>2</v>
      </c>
      <c r="M413" t="s">
        <v>3475</v>
      </c>
    </row>
    <row r="414" spans="1:13" x14ac:dyDescent="0.35">
      <c r="A414" t="s">
        <v>804</v>
      </c>
      <c r="B414" t="s">
        <v>18</v>
      </c>
      <c r="C414">
        <v>0.75</v>
      </c>
      <c r="D414">
        <v>0.75</v>
      </c>
      <c r="E414">
        <v>0.75</v>
      </c>
      <c r="F414">
        <v>0.75</v>
      </c>
      <c r="G414">
        <v>0.75</v>
      </c>
      <c r="H414">
        <v>0.8</v>
      </c>
      <c r="I414">
        <v>2775</v>
      </c>
      <c r="J414">
        <v>2081.25</v>
      </c>
      <c r="K414" s="13">
        <v>43994</v>
      </c>
      <c r="L414">
        <v>4</v>
      </c>
      <c r="M414" t="s">
        <v>805</v>
      </c>
    </row>
    <row r="415" spans="1:13" x14ac:dyDescent="0.35">
      <c r="A415" t="s">
        <v>3476</v>
      </c>
      <c r="B415" t="s">
        <v>3414</v>
      </c>
      <c r="C415">
        <v>1.9</v>
      </c>
      <c r="D415">
        <v>1.9</v>
      </c>
      <c r="E415">
        <v>1.8</v>
      </c>
      <c r="F415">
        <v>1.9</v>
      </c>
      <c r="G415">
        <v>1.9</v>
      </c>
      <c r="H415">
        <v>1.85</v>
      </c>
      <c r="I415">
        <v>3604</v>
      </c>
      <c r="J415">
        <v>6810.6</v>
      </c>
      <c r="K415" s="13">
        <v>43994</v>
      </c>
      <c r="L415">
        <v>11</v>
      </c>
      <c r="M415" t="s">
        <v>3477</v>
      </c>
    </row>
    <row r="416" spans="1:13" x14ac:dyDescent="0.35">
      <c r="A416" t="s">
        <v>806</v>
      </c>
      <c r="B416" t="s">
        <v>18</v>
      </c>
      <c r="C416">
        <v>1053.06</v>
      </c>
      <c r="D416">
        <v>1056</v>
      </c>
      <c r="E416">
        <v>1053.06</v>
      </c>
      <c r="F416">
        <v>1054.6500000000001</v>
      </c>
      <c r="G416">
        <v>1054.5</v>
      </c>
      <c r="H416">
        <v>1053.06</v>
      </c>
      <c r="I416">
        <v>8474</v>
      </c>
      <c r="J416">
        <v>8938666.9100000001</v>
      </c>
      <c r="K416" s="13">
        <v>43994</v>
      </c>
      <c r="L416">
        <v>120</v>
      </c>
      <c r="M416" t="s">
        <v>807</v>
      </c>
    </row>
    <row r="417" spans="1:13" x14ac:dyDescent="0.35">
      <c r="A417" t="s">
        <v>808</v>
      </c>
      <c r="B417" t="s">
        <v>18</v>
      </c>
      <c r="C417">
        <v>1071.1400000000001</v>
      </c>
      <c r="D417">
        <v>1075</v>
      </c>
      <c r="E417">
        <v>1070</v>
      </c>
      <c r="F417">
        <v>1071.1600000000001</v>
      </c>
      <c r="G417">
        <v>1071</v>
      </c>
      <c r="H417">
        <v>1071.1400000000001</v>
      </c>
      <c r="I417">
        <v>21388</v>
      </c>
      <c r="J417">
        <v>22912688.640000001</v>
      </c>
      <c r="K417" s="13">
        <v>43994</v>
      </c>
      <c r="L417">
        <v>125</v>
      </c>
      <c r="M417" t="s">
        <v>809</v>
      </c>
    </row>
    <row r="418" spans="1:13" x14ac:dyDescent="0.35">
      <c r="A418" t="s">
        <v>810</v>
      </c>
      <c r="B418" t="s">
        <v>18</v>
      </c>
      <c r="C418">
        <v>419.9</v>
      </c>
      <c r="D418">
        <v>419.9</v>
      </c>
      <c r="E418">
        <v>392.85</v>
      </c>
      <c r="F418">
        <v>407.5</v>
      </c>
      <c r="G418">
        <v>411.1</v>
      </c>
      <c r="H418">
        <v>409.95</v>
      </c>
      <c r="I418">
        <v>4433</v>
      </c>
      <c r="J418">
        <v>1784290.2</v>
      </c>
      <c r="K418" s="13">
        <v>43994</v>
      </c>
      <c r="L418">
        <v>314</v>
      </c>
      <c r="M418" t="s">
        <v>811</v>
      </c>
    </row>
    <row r="419" spans="1:13" x14ac:dyDescent="0.35">
      <c r="A419" t="s">
        <v>3478</v>
      </c>
      <c r="B419" t="s">
        <v>3386</v>
      </c>
      <c r="C419">
        <v>5.71</v>
      </c>
      <c r="D419">
        <v>5.71</v>
      </c>
      <c r="E419">
        <v>5.71</v>
      </c>
      <c r="F419">
        <v>5.71</v>
      </c>
      <c r="G419">
        <v>5.71</v>
      </c>
      <c r="H419">
        <v>6.34</v>
      </c>
      <c r="I419">
        <v>755</v>
      </c>
      <c r="J419">
        <v>4311.05</v>
      </c>
      <c r="K419" s="13">
        <v>43994</v>
      </c>
      <c r="L419">
        <v>1</v>
      </c>
      <c r="M419" t="s">
        <v>3479</v>
      </c>
    </row>
    <row r="420" spans="1:13" x14ac:dyDescent="0.35">
      <c r="A420" t="s">
        <v>812</v>
      </c>
      <c r="B420" t="s">
        <v>18</v>
      </c>
      <c r="C420">
        <v>393.85</v>
      </c>
      <c r="D420">
        <v>404.8</v>
      </c>
      <c r="E420">
        <v>390</v>
      </c>
      <c r="F420">
        <v>399.85</v>
      </c>
      <c r="G420">
        <v>398.5</v>
      </c>
      <c r="H420">
        <v>400.8</v>
      </c>
      <c r="I420">
        <v>54400</v>
      </c>
      <c r="J420">
        <v>21641033.699999999</v>
      </c>
      <c r="K420" s="13">
        <v>43994</v>
      </c>
      <c r="L420">
        <v>3144</v>
      </c>
      <c r="M420" t="s">
        <v>813</v>
      </c>
    </row>
    <row r="421" spans="1:13" x14ac:dyDescent="0.35">
      <c r="A421" t="s">
        <v>3480</v>
      </c>
      <c r="B421" t="s">
        <v>3481</v>
      </c>
      <c r="C421">
        <v>1009</v>
      </c>
      <c r="D421">
        <v>1010</v>
      </c>
      <c r="E421">
        <v>1009</v>
      </c>
      <c r="F421">
        <v>1010</v>
      </c>
      <c r="G421">
        <v>1010</v>
      </c>
      <c r="H421">
        <v>1010</v>
      </c>
      <c r="I421">
        <v>370</v>
      </c>
      <c r="J421">
        <v>373400</v>
      </c>
      <c r="K421" s="13">
        <v>43994</v>
      </c>
      <c r="L421">
        <v>12</v>
      </c>
      <c r="M421" t="s">
        <v>3482</v>
      </c>
    </row>
    <row r="422" spans="1:13" x14ac:dyDescent="0.35">
      <c r="A422" t="s">
        <v>3480</v>
      </c>
      <c r="B422" t="s">
        <v>3483</v>
      </c>
      <c r="C422">
        <v>951</v>
      </c>
      <c r="D422">
        <v>951</v>
      </c>
      <c r="E422">
        <v>950</v>
      </c>
      <c r="F422">
        <v>950</v>
      </c>
      <c r="G422">
        <v>950</v>
      </c>
      <c r="H422">
        <v>950</v>
      </c>
      <c r="I422">
        <v>21</v>
      </c>
      <c r="J422">
        <v>19970</v>
      </c>
      <c r="K422" s="13">
        <v>43994</v>
      </c>
      <c r="L422">
        <v>5</v>
      </c>
      <c r="M422" t="s">
        <v>3484</v>
      </c>
    </row>
    <row r="423" spans="1:13" x14ac:dyDescent="0.35">
      <c r="A423" t="s">
        <v>3480</v>
      </c>
      <c r="B423" t="s">
        <v>3485</v>
      </c>
      <c r="C423">
        <v>835.8</v>
      </c>
      <c r="D423">
        <v>835.8</v>
      </c>
      <c r="E423">
        <v>830</v>
      </c>
      <c r="F423">
        <v>834.88</v>
      </c>
      <c r="G423">
        <v>835</v>
      </c>
      <c r="H423">
        <v>835.9</v>
      </c>
      <c r="I423">
        <v>193</v>
      </c>
      <c r="J423">
        <v>161079</v>
      </c>
      <c r="K423" s="13">
        <v>43994</v>
      </c>
      <c r="L423">
        <v>12</v>
      </c>
      <c r="M423" t="s">
        <v>3486</v>
      </c>
    </row>
    <row r="424" spans="1:13" x14ac:dyDescent="0.35">
      <c r="A424" t="s">
        <v>3480</v>
      </c>
      <c r="B424" t="s">
        <v>814</v>
      </c>
      <c r="C424">
        <v>945</v>
      </c>
      <c r="D424">
        <v>948</v>
      </c>
      <c r="E424">
        <v>945</v>
      </c>
      <c r="F424">
        <v>948</v>
      </c>
      <c r="G424">
        <v>948</v>
      </c>
      <c r="H424">
        <v>950</v>
      </c>
      <c r="I424">
        <v>21</v>
      </c>
      <c r="J424">
        <v>19905</v>
      </c>
      <c r="K424" s="13">
        <v>43994</v>
      </c>
      <c r="L424">
        <v>2</v>
      </c>
      <c r="M424" t="s">
        <v>3487</v>
      </c>
    </row>
    <row r="425" spans="1:13" x14ac:dyDescent="0.35">
      <c r="A425" t="s">
        <v>3480</v>
      </c>
      <c r="B425" t="s">
        <v>3488</v>
      </c>
      <c r="C425">
        <v>840</v>
      </c>
      <c r="D425">
        <v>840</v>
      </c>
      <c r="E425">
        <v>835</v>
      </c>
      <c r="F425">
        <v>835</v>
      </c>
      <c r="G425">
        <v>835</v>
      </c>
      <c r="H425">
        <v>840.87</v>
      </c>
      <c r="I425">
        <v>200</v>
      </c>
      <c r="J425">
        <v>167125</v>
      </c>
      <c r="K425" s="13">
        <v>43994</v>
      </c>
      <c r="L425">
        <v>3</v>
      </c>
      <c r="M425" t="s">
        <v>3489</v>
      </c>
    </row>
    <row r="426" spans="1:13" x14ac:dyDescent="0.35">
      <c r="A426" t="s">
        <v>3480</v>
      </c>
      <c r="B426" t="s">
        <v>3490</v>
      </c>
      <c r="C426">
        <v>763</v>
      </c>
      <c r="D426">
        <v>774.5</v>
      </c>
      <c r="E426">
        <v>763</v>
      </c>
      <c r="F426">
        <v>774.5</v>
      </c>
      <c r="G426">
        <v>774.5</v>
      </c>
      <c r="H426">
        <v>764</v>
      </c>
      <c r="I426">
        <v>25</v>
      </c>
      <c r="J426">
        <v>19190</v>
      </c>
      <c r="K426" s="13">
        <v>43994</v>
      </c>
      <c r="L426">
        <v>3</v>
      </c>
      <c r="M426" t="s">
        <v>3491</v>
      </c>
    </row>
    <row r="427" spans="1:13" x14ac:dyDescent="0.35">
      <c r="A427" t="s">
        <v>3480</v>
      </c>
      <c r="B427" t="s">
        <v>3492</v>
      </c>
      <c r="C427">
        <v>775</v>
      </c>
      <c r="D427">
        <v>775</v>
      </c>
      <c r="E427">
        <v>760</v>
      </c>
      <c r="F427">
        <v>772.12</v>
      </c>
      <c r="G427">
        <v>772</v>
      </c>
      <c r="H427">
        <v>773</v>
      </c>
      <c r="I427">
        <v>161</v>
      </c>
      <c r="J427">
        <v>124545</v>
      </c>
      <c r="K427" s="13">
        <v>43994</v>
      </c>
      <c r="L427">
        <v>8</v>
      </c>
      <c r="M427" t="s">
        <v>3493</v>
      </c>
    </row>
    <row r="428" spans="1:13" x14ac:dyDescent="0.35">
      <c r="A428" t="s">
        <v>3480</v>
      </c>
      <c r="B428" t="s">
        <v>3494</v>
      </c>
      <c r="C428">
        <v>899</v>
      </c>
      <c r="D428">
        <v>920</v>
      </c>
      <c r="E428">
        <v>899</v>
      </c>
      <c r="F428">
        <v>920</v>
      </c>
      <c r="G428">
        <v>920</v>
      </c>
      <c r="H428">
        <v>920</v>
      </c>
      <c r="I428">
        <v>570</v>
      </c>
      <c r="J428">
        <v>521608</v>
      </c>
      <c r="K428" s="13">
        <v>43994</v>
      </c>
      <c r="L428">
        <v>21</v>
      </c>
      <c r="M428" t="s">
        <v>3495</v>
      </c>
    </row>
    <row r="429" spans="1:13" x14ac:dyDescent="0.35">
      <c r="A429" t="s">
        <v>3480</v>
      </c>
      <c r="B429" t="s">
        <v>3496</v>
      </c>
      <c r="C429">
        <v>909.01</v>
      </c>
      <c r="D429">
        <v>909.01</v>
      </c>
      <c r="E429">
        <v>909.01</v>
      </c>
      <c r="F429">
        <v>909.01</v>
      </c>
      <c r="G429">
        <v>909.01</v>
      </c>
      <c r="H429">
        <v>900.01</v>
      </c>
      <c r="I429">
        <v>30</v>
      </c>
      <c r="J429">
        <v>27270.3</v>
      </c>
      <c r="K429" s="13">
        <v>43994</v>
      </c>
      <c r="L429">
        <v>1</v>
      </c>
      <c r="M429" t="s">
        <v>3497</v>
      </c>
    </row>
    <row r="430" spans="1:13" x14ac:dyDescent="0.35">
      <c r="A430" t="s">
        <v>3480</v>
      </c>
      <c r="B430" t="s">
        <v>3498</v>
      </c>
      <c r="C430">
        <v>890</v>
      </c>
      <c r="D430">
        <v>890</v>
      </c>
      <c r="E430">
        <v>885</v>
      </c>
      <c r="F430">
        <v>889.5</v>
      </c>
      <c r="G430">
        <v>889.5</v>
      </c>
      <c r="H430">
        <v>880</v>
      </c>
      <c r="I430">
        <v>617</v>
      </c>
      <c r="J430">
        <v>548629</v>
      </c>
      <c r="K430" s="13">
        <v>43994</v>
      </c>
      <c r="L430">
        <v>7</v>
      </c>
      <c r="M430" t="s">
        <v>3499</v>
      </c>
    </row>
    <row r="431" spans="1:13" x14ac:dyDescent="0.35">
      <c r="A431" t="s">
        <v>3480</v>
      </c>
      <c r="B431" t="s">
        <v>3456</v>
      </c>
      <c r="C431">
        <v>880</v>
      </c>
      <c r="D431">
        <v>880</v>
      </c>
      <c r="E431">
        <v>880</v>
      </c>
      <c r="F431">
        <v>880</v>
      </c>
      <c r="G431">
        <v>880</v>
      </c>
      <c r="H431">
        <v>890</v>
      </c>
      <c r="I431">
        <v>13</v>
      </c>
      <c r="J431">
        <v>11440</v>
      </c>
      <c r="K431" s="13">
        <v>43994</v>
      </c>
      <c r="L431">
        <v>2</v>
      </c>
      <c r="M431" t="s">
        <v>3500</v>
      </c>
    </row>
    <row r="432" spans="1:13" x14ac:dyDescent="0.35">
      <c r="A432" t="s">
        <v>3480</v>
      </c>
      <c r="B432" t="s">
        <v>3458</v>
      </c>
      <c r="C432">
        <v>870</v>
      </c>
      <c r="D432">
        <v>870</v>
      </c>
      <c r="E432">
        <v>870</v>
      </c>
      <c r="F432">
        <v>870</v>
      </c>
      <c r="G432">
        <v>870</v>
      </c>
      <c r="H432">
        <v>870</v>
      </c>
      <c r="I432">
        <v>10</v>
      </c>
      <c r="J432">
        <v>8700</v>
      </c>
      <c r="K432" s="13">
        <v>43994</v>
      </c>
      <c r="L432">
        <v>1</v>
      </c>
      <c r="M432" t="s">
        <v>3501</v>
      </c>
    </row>
    <row r="433" spans="1:13" x14ac:dyDescent="0.35">
      <c r="A433" t="s">
        <v>3480</v>
      </c>
      <c r="B433" t="s">
        <v>3502</v>
      </c>
      <c r="C433">
        <v>905</v>
      </c>
      <c r="D433">
        <v>950.5</v>
      </c>
      <c r="E433">
        <v>905</v>
      </c>
      <c r="F433">
        <v>907.66</v>
      </c>
      <c r="G433">
        <v>907</v>
      </c>
      <c r="H433">
        <v>906.5</v>
      </c>
      <c r="I433">
        <v>647</v>
      </c>
      <c r="J433">
        <v>589186.29</v>
      </c>
      <c r="K433" s="13">
        <v>43994</v>
      </c>
      <c r="L433">
        <v>15</v>
      </c>
      <c r="M433" t="s">
        <v>3503</v>
      </c>
    </row>
    <row r="434" spans="1:13" x14ac:dyDescent="0.35">
      <c r="A434" t="s">
        <v>3480</v>
      </c>
      <c r="B434" t="s">
        <v>3460</v>
      </c>
      <c r="C434">
        <v>860</v>
      </c>
      <c r="D434">
        <v>860</v>
      </c>
      <c r="E434">
        <v>860</v>
      </c>
      <c r="F434">
        <v>860</v>
      </c>
      <c r="G434">
        <v>860</v>
      </c>
      <c r="H434">
        <v>853.01</v>
      </c>
      <c r="I434">
        <v>47</v>
      </c>
      <c r="J434">
        <v>40420</v>
      </c>
      <c r="K434" s="13">
        <v>43994</v>
      </c>
      <c r="L434">
        <v>2</v>
      </c>
      <c r="M434" t="s">
        <v>3504</v>
      </c>
    </row>
    <row r="435" spans="1:13" x14ac:dyDescent="0.35">
      <c r="A435" t="s">
        <v>815</v>
      </c>
      <c r="B435" t="s">
        <v>18</v>
      </c>
      <c r="C435">
        <v>42.1</v>
      </c>
      <c r="D435">
        <v>43.9</v>
      </c>
      <c r="E435">
        <v>42.1</v>
      </c>
      <c r="F435">
        <v>43.5</v>
      </c>
      <c r="G435">
        <v>43.6</v>
      </c>
      <c r="H435">
        <v>44.3</v>
      </c>
      <c r="I435">
        <v>1165086</v>
      </c>
      <c r="J435">
        <v>50005880.850000001</v>
      </c>
      <c r="K435" s="13">
        <v>43994</v>
      </c>
      <c r="L435">
        <v>5141</v>
      </c>
      <c r="M435" t="s">
        <v>816</v>
      </c>
    </row>
    <row r="436" spans="1:13" x14ac:dyDescent="0.35">
      <c r="A436" t="s">
        <v>3505</v>
      </c>
      <c r="B436" t="s">
        <v>3414</v>
      </c>
      <c r="C436">
        <v>5.65</v>
      </c>
      <c r="D436">
        <v>6.05</v>
      </c>
      <c r="E436">
        <v>5.65</v>
      </c>
      <c r="F436">
        <v>6</v>
      </c>
      <c r="G436">
        <v>6</v>
      </c>
      <c r="H436">
        <v>5.9</v>
      </c>
      <c r="I436">
        <v>5153</v>
      </c>
      <c r="J436">
        <v>29938.35</v>
      </c>
      <c r="K436" s="13">
        <v>43994</v>
      </c>
      <c r="L436">
        <v>20</v>
      </c>
      <c r="M436" t="s">
        <v>3506</v>
      </c>
    </row>
    <row r="437" spans="1:13" x14ac:dyDescent="0.35">
      <c r="A437" t="s">
        <v>3507</v>
      </c>
      <c r="B437" t="s">
        <v>3414</v>
      </c>
      <c r="C437">
        <v>4.2</v>
      </c>
      <c r="D437">
        <v>4.2</v>
      </c>
      <c r="E437">
        <v>4.2</v>
      </c>
      <c r="F437">
        <v>4.2</v>
      </c>
      <c r="G437">
        <v>4.2</v>
      </c>
      <c r="H437">
        <v>4.4000000000000004</v>
      </c>
      <c r="I437">
        <v>100035</v>
      </c>
      <c r="J437">
        <v>420147</v>
      </c>
      <c r="K437" s="13">
        <v>43994</v>
      </c>
      <c r="L437">
        <v>99</v>
      </c>
      <c r="M437" t="s">
        <v>3508</v>
      </c>
    </row>
    <row r="438" spans="1:13" x14ac:dyDescent="0.35">
      <c r="A438" t="s">
        <v>3509</v>
      </c>
      <c r="B438" t="s">
        <v>3510</v>
      </c>
      <c r="C438">
        <v>950</v>
      </c>
      <c r="D438">
        <v>950</v>
      </c>
      <c r="E438">
        <v>950</v>
      </c>
      <c r="F438">
        <v>950</v>
      </c>
      <c r="G438">
        <v>950</v>
      </c>
      <c r="H438">
        <v>940</v>
      </c>
      <c r="I438">
        <v>11</v>
      </c>
      <c r="J438">
        <v>10450</v>
      </c>
      <c r="K438" s="13">
        <v>43994</v>
      </c>
      <c r="L438">
        <v>3</v>
      </c>
      <c r="M438" t="s">
        <v>3511</v>
      </c>
    </row>
    <row r="439" spans="1:13" x14ac:dyDescent="0.35">
      <c r="A439" t="s">
        <v>3509</v>
      </c>
      <c r="B439" t="s">
        <v>3512</v>
      </c>
      <c r="C439">
        <v>1250</v>
      </c>
      <c r="D439">
        <v>1250</v>
      </c>
      <c r="E439">
        <v>1250</v>
      </c>
      <c r="F439">
        <v>1250</v>
      </c>
      <c r="G439">
        <v>1250</v>
      </c>
      <c r="H439">
        <v>1220</v>
      </c>
      <c r="I439">
        <v>5</v>
      </c>
      <c r="J439">
        <v>6250</v>
      </c>
      <c r="K439" s="13">
        <v>43994</v>
      </c>
      <c r="L439">
        <v>1</v>
      </c>
      <c r="M439" t="s">
        <v>3513</v>
      </c>
    </row>
    <row r="440" spans="1:13" x14ac:dyDescent="0.35">
      <c r="A440" t="s">
        <v>3509</v>
      </c>
      <c r="B440" t="s">
        <v>3514</v>
      </c>
      <c r="C440">
        <v>850</v>
      </c>
      <c r="D440">
        <v>850</v>
      </c>
      <c r="E440">
        <v>848</v>
      </c>
      <c r="F440">
        <v>848</v>
      </c>
      <c r="G440">
        <v>848</v>
      </c>
      <c r="H440">
        <v>849.99</v>
      </c>
      <c r="I440">
        <v>300</v>
      </c>
      <c r="J440">
        <v>254989.95</v>
      </c>
      <c r="K440" s="13">
        <v>43994</v>
      </c>
      <c r="L440">
        <v>5</v>
      </c>
      <c r="M440" t="s">
        <v>3515</v>
      </c>
    </row>
    <row r="441" spans="1:13" x14ac:dyDescent="0.35">
      <c r="A441" t="s">
        <v>3509</v>
      </c>
      <c r="B441" t="s">
        <v>3452</v>
      </c>
      <c r="C441">
        <v>659.89</v>
      </c>
      <c r="D441">
        <v>659.89</v>
      </c>
      <c r="E441">
        <v>648.26</v>
      </c>
      <c r="F441">
        <v>650.46</v>
      </c>
      <c r="G441">
        <v>650</v>
      </c>
      <c r="H441">
        <v>653.67999999999995</v>
      </c>
      <c r="I441">
        <v>4257</v>
      </c>
      <c r="J441">
        <v>2768917.95</v>
      </c>
      <c r="K441" s="13">
        <v>43994</v>
      </c>
      <c r="L441">
        <v>52</v>
      </c>
      <c r="M441" t="s">
        <v>3516</v>
      </c>
    </row>
    <row r="442" spans="1:13" x14ac:dyDescent="0.35">
      <c r="A442" t="s">
        <v>38</v>
      </c>
      <c r="B442" t="s">
        <v>18</v>
      </c>
      <c r="C442">
        <v>15600</v>
      </c>
      <c r="D442">
        <v>16989.75</v>
      </c>
      <c r="E442">
        <v>15591.1</v>
      </c>
      <c r="F442">
        <v>16857.3</v>
      </c>
      <c r="G442">
        <v>16825.099999999999</v>
      </c>
      <c r="H442">
        <v>16442.8</v>
      </c>
      <c r="I442">
        <v>379668</v>
      </c>
      <c r="J442">
        <v>6201623862.9499998</v>
      </c>
      <c r="K442" s="13">
        <v>43994</v>
      </c>
      <c r="L442">
        <v>86065</v>
      </c>
      <c r="M442" t="s">
        <v>817</v>
      </c>
    </row>
    <row r="443" spans="1:13" x14ac:dyDescent="0.35">
      <c r="A443" t="s">
        <v>818</v>
      </c>
      <c r="B443" t="s">
        <v>18</v>
      </c>
      <c r="C443">
        <v>220</v>
      </c>
      <c r="D443">
        <v>229</v>
      </c>
      <c r="E443">
        <v>215.25</v>
      </c>
      <c r="F443">
        <v>226.1</v>
      </c>
      <c r="G443">
        <v>225.2</v>
      </c>
      <c r="H443">
        <v>229.75</v>
      </c>
      <c r="I443">
        <v>902824</v>
      </c>
      <c r="J443">
        <v>200585671.55000001</v>
      </c>
      <c r="K443" s="13">
        <v>43994</v>
      </c>
      <c r="L443">
        <v>12277</v>
      </c>
      <c r="M443" t="s">
        <v>819</v>
      </c>
    </row>
    <row r="444" spans="1:13" x14ac:dyDescent="0.35">
      <c r="A444" t="s">
        <v>3517</v>
      </c>
      <c r="B444" t="s">
        <v>3381</v>
      </c>
      <c r="C444">
        <v>84</v>
      </c>
      <c r="D444">
        <v>84.75</v>
      </c>
      <c r="E444">
        <v>84</v>
      </c>
      <c r="F444">
        <v>84.75</v>
      </c>
      <c r="G444">
        <v>84.75</v>
      </c>
      <c r="H444">
        <v>84.95</v>
      </c>
      <c r="I444">
        <v>3200</v>
      </c>
      <c r="J444">
        <v>270000</v>
      </c>
      <c r="K444" s="13">
        <v>43994</v>
      </c>
      <c r="L444">
        <v>4</v>
      </c>
      <c r="M444" t="s">
        <v>3518</v>
      </c>
    </row>
    <row r="445" spans="1:13" x14ac:dyDescent="0.35">
      <c r="A445" t="s">
        <v>820</v>
      </c>
      <c r="B445" t="s">
        <v>18</v>
      </c>
      <c r="C445">
        <v>224</v>
      </c>
      <c r="D445">
        <v>244</v>
      </c>
      <c r="E445">
        <v>224</v>
      </c>
      <c r="F445">
        <v>236.6</v>
      </c>
      <c r="G445">
        <v>236</v>
      </c>
      <c r="H445">
        <v>235.55</v>
      </c>
      <c r="I445">
        <v>12939</v>
      </c>
      <c r="J445">
        <v>3063571.25</v>
      </c>
      <c r="K445" s="13">
        <v>43994</v>
      </c>
      <c r="L445">
        <v>592</v>
      </c>
      <c r="M445" t="s">
        <v>821</v>
      </c>
    </row>
    <row r="446" spans="1:13" x14ac:dyDescent="0.35">
      <c r="A446" t="s">
        <v>822</v>
      </c>
      <c r="B446" t="s">
        <v>18</v>
      </c>
      <c r="C446">
        <v>63.75</v>
      </c>
      <c r="D446">
        <v>68.599999999999994</v>
      </c>
      <c r="E446">
        <v>62.45</v>
      </c>
      <c r="F446">
        <v>67.75</v>
      </c>
      <c r="G446">
        <v>67.5</v>
      </c>
      <c r="H446">
        <v>69.349999999999994</v>
      </c>
      <c r="I446">
        <v>1117347</v>
      </c>
      <c r="J446">
        <v>72893304.950000003</v>
      </c>
      <c r="K446" s="13">
        <v>43994</v>
      </c>
      <c r="L446">
        <v>16583</v>
      </c>
      <c r="M446" t="s">
        <v>823</v>
      </c>
    </row>
    <row r="447" spans="1:13" x14ac:dyDescent="0.35">
      <c r="A447" t="s">
        <v>824</v>
      </c>
      <c r="B447" t="s">
        <v>18</v>
      </c>
      <c r="C447">
        <v>262.5</v>
      </c>
      <c r="D447">
        <v>264</v>
      </c>
      <c r="E447">
        <v>250</v>
      </c>
      <c r="F447">
        <v>256.89999999999998</v>
      </c>
      <c r="G447">
        <v>264</v>
      </c>
      <c r="H447">
        <v>263.05</v>
      </c>
      <c r="I447">
        <v>120</v>
      </c>
      <c r="J447">
        <v>30436.1</v>
      </c>
      <c r="K447" s="13">
        <v>43994</v>
      </c>
      <c r="L447">
        <v>35</v>
      </c>
      <c r="M447" t="s">
        <v>825</v>
      </c>
    </row>
    <row r="448" spans="1:13" x14ac:dyDescent="0.35">
      <c r="A448" t="s">
        <v>826</v>
      </c>
      <c r="B448" t="s">
        <v>18</v>
      </c>
      <c r="C448">
        <v>15.95</v>
      </c>
      <c r="D448">
        <v>16.100000000000001</v>
      </c>
      <c r="E448">
        <v>15.3</v>
      </c>
      <c r="F448">
        <v>16</v>
      </c>
      <c r="G448">
        <v>16.100000000000001</v>
      </c>
      <c r="H448">
        <v>16.2</v>
      </c>
      <c r="I448">
        <v>64906</v>
      </c>
      <c r="J448">
        <v>1021432.45</v>
      </c>
      <c r="K448" s="13">
        <v>43994</v>
      </c>
      <c r="L448">
        <v>268</v>
      </c>
      <c r="M448" t="s">
        <v>827</v>
      </c>
    </row>
    <row r="449" spans="1:13" x14ac:dyDescent="0.35">
      <c r="A449" t="s">
        <v>828</v>
      </c>
      <c r="B449" t="s">
        <v>18</v>
      </c>
      <c r="C449">
        <v>21.15</v>
      </c>
      <c r="D449">
        <v>23.5</v>
      </c>
      <c r="E449">
        <v>21.15</v>
      </c>
      <c r="F449">
        <v>22.85</v>
      </c>
      <c r="G449">
        <v>22.7</v>
      </c>
      <c r="H449">
        <v>22.5</v>
      </c>
      <c r="I449">
        <v>123205</v>
      </c>
      <c r="J449">
        <v>2763074.1</v>
      </c>
      <c r="K449" s="13">
        <v>43994</v>
      </c>
      <c r="L449">
        <v>754</v>
      </c>
      <c r="M449" t="s">
        <v>829</v>
      </c>
    </row>
    <row r="450" spans="1:13" x14ac:dyDescent="0.35">
      <c r="A450" t="s">
        <v>830</v>
      </c>
      <c r="B450" t="s">
        <v>18</v>
      </c>
      <c r="C450">
        <v>10.9</v>
      </c>
      <c r="D450">
        <v>11.45</v>
      </c>
      <c r="E450">
        <v>10.35</v>
      </c>
      <c r="F450">
        <v>11.35</v>
      </c>
      <c r="G450">
        <v>11.4</v>
      </c>
      <c r="H450">
        <v>11.25</v>
      </c>
      <c r="I450">
        <v>545478</v>
      </c>
      <c r="J450">
        <v>5889076.9500000002</v>
      </c>
      <c r="K450" s="13">
        <v>43994</v>
      </c>
      <c r="L450">
        <v>892</v>
      </c>
      <c r="M450" t="s">
        <v>831</v>
      </c>
    </row>
    <row r="451" spans="1:13" x14ac:dyDescent="0.35">
      <c r="A451" t="s">
        <v>832</v>
      </c>
      <c r="B451" t="s">
        <v>18</v>
      </c>
      <c r="C451">
        <v>107.5</v>
      </c>
      <c r="D451">
        <v>117.8</v>
      </c>
      <c r="E451">
        <v>107.5</v>
      </c>
      <c r="F451">
        <v>115.4</v>
      </c>
      <c r="G451">
        <v>117.8</v>
      </c>
      <c r="H451">
        <v>115.95</v>
      </c>
      <c r="I451">
        <v>7508</v>
      </c>
      <c r="J451">
        <v>842009.7</v>
      </c>
      <c r="K451" s="13">
        <v>43994</v>
      </c>
      <c r="L451">
        <v>283</v>
      </c>
      <c r="M451" t="s">
        <v>833</v>
      </c>
    </row>
    <row r="452" spans="1:13" x14ac:dyDescent="0.35">
      <c r="A452" t="s">
        <v>834</v>
      </c>
      <c r="B452" t="s">
        <v>18</v>
      </c>
      <c r="C452">
        <v>141</v>
      </c>
      <c r="D452">
        <v>144.44999999999999</v>
      </c>
      <c r="E452">
        <v>135.19999999999999</v>
      </c>
      <c r="F452">
        <v>143.5</v>
      </c>
      <c r="G452">
        <v>143.4</v>
      </c>
      <c r="H452">
        <v>144.44999999999999</v>
      </c>
      <c r="I452">
        <v>26709</v>
      </c>
      <c r="J452">
        <v>3733338.25</v>
      </c>
      <c r="K452" s="13">
        <v>43994</v>
      </c>
      <c r="L452">
        <v>1072</v>
      </c>
      <c r="M452" t="s">
        <v>835</v>
      </c>
    </row>
    <row r="453" spans="1:13" x14ac:dyDescent="0.35">
      <c r="A453" t="s">
        <v>836</v>
      </c>
      <c r="B453" t="s">
        <v>18</v>
      </c>
      <c r="C453">
        <v>14.5</v>
      </c>
      <c r="D453">
        <v>15.1</v>
      </c>
      <c r="E453">
        <v>14.1</v>
      </c>
      <c r="F453">
        <v>14.95</v>
      </c>
      <c r="G453">
        <v>14.9</v>
      </c>
      <c r="H453">
        <v>14.7</v>
      </c>
      <c r="I453">
        <v>31137</v>
      </c>
      <c r="J453">
        <v>453341.65</v>
      </c>
      <c r="K453" s="13">
        <v>43994</v>
      </c>
      <c r="L453">
        <v>140</v>
      </c>
      <c r="M453" t="s">
        <v>837</v>
      </c>
    </row>
    <row r="454" spans="1:13" x14ac:dyDescent="0.35">
      <c r="A454" t="s">
        <v>838</v>
      </c>
      <c r="B454" t="s">
        <v>18</v>
      </c>
      <c r="C454">
        <v>187</v>
      </c>
      <c r="D454">
        <v>204.9</v>
      </c>
      <c r="E454">
        <v>184.15</v>
      </c>
      <c r="F454">
        <v>203.1</v>
      </c>
      <c r="G454">
        <v>203.25</v>
      </c>
      <c r="H454">
        <v>193</v>
      </c>
      <c r="I454">
        <v>698228</v>
      </c>
      <c r="J454">
        <v>137209464.25</v>
      </c>
      <c r="K454" s="13">
        <v>43994</v>
      </c>
      <c r="L454">
        <v>13559</v>
      </c>
      <c r="M454" t="s">
        <v>839</v>
      </c>
    </row>
    <row r="455" spans="1:13" x14ac:dyDescent="0.35">
      <c r="A455" t="s">
        <v>840</v>
      </c>
      <c r="B455" t="s">
        <v>18</v>
      </c>
      <c r="C455">
        <v>73.45</v>
      </c>
      <c r="D455">
        <v>77</v>
      </c>
      <c r="E455">
        <v>73</v>
      </c>
      <c r="F455">
        <v>76</v>
      </c>
      <c r="G455">
        <v>75.900000000000006</v>
      </c>
      <c r="H455">
        <v>76.400000000000006</v>
      </c>
      <c r="I455">
        <v>9870</v>
      </c>
      <c r="J455">
        <v>736227</v>
      </c>
      <c r="K455" s="13">
        <v>43994</v>
      </c>
      <c r="L455">
        <v>246</v>
      </c>
      <c r="M455" t="s">
        <v>841</v>
      </c>
    </row>
    <row r="456" spans="1:13" x14ac:dyDescent="0.35">
      <c r="A456" t="s">
        <v>842</v>
      </c>
      <c r="B456" t="s">
        <v>18</v>
      </c>
      <c r="C456">
        <v>39.1</v>
      </c>
      <c r="D456">
        <v>39.1</v>
      </c>
      <c r="E456">
        <v>37.1</v>
      </c>
      <c r="F456">
        <v>37.25</v>
      </c>
      <c r="G456">
        <v>37.5</v>
      </c>
      <c r="H456">
        <v>39.049999999999997</v>
      </c>
      <c r="I456">
        <v>45024</v>
      </c>
      <c r="J456">
        <v>1679949.45</v>
      </c>
      <c r="K456" s="13">
        <v>43994</v>
      </c>
      <c r="L456">
        <v>417</v>
      </c>
      <c r="M456" t="s">
        <v>843</v>
      </c>
    </row>
    <row r="457" spans="1:13" x14ac:dyDescent="0.35">
      <c r="A457" t="s">
        <v>3519</v>
      </c>
      <c r="B457" t="s">
        <v>3520</v>
      </c>
      <c r="C457">
        <v>366.7</v>
      </c>
      <c r="D457">
        <v>370</v>
      </c>
      <c r="E457">
        <v>363.15</v>
      </c>
      <c r="F457">
        <v>365.12</v>
      </c>
      <c r="G457">
        <v>364</v>
      </c>
      <c r="H457">
        <v>368.44</v>
      </c>
      <c r="I457">
        <v>164000</v>
      </c>
      <c r="J457">
        <v>60322014</v>
      </c>
      <c r="K457" s="13">
        <v>43994</v>
      </c>
      <c r="L457">
        <v>628</v>
      </c>
      <c r="M457" t="s">
        <v>3521</v>
      </c>
    </row>
    <row r="458" spans="1:13" x14ac:dyDescent="0.35">
      <c r="A458" t="s">
        <v>3522</v>
      </c>
      <c r="B458" t="s">
        <v>3414</v>
      </c>
      <c r="C458">
        <v>1.4</v>
      </c>
      <c r="D458">
        <v>1.4</v>
      </c>
      <c r="E458">
        <v>1.3</v>
      </c>
      <c r="F458">
        <v>1.35</v>
      </c>
      <c r="G458">
        <v>1.4</v>
      </c>
      <c r="H458">
        <v>1.35</v>
      </c>
      <c r="I458">
        <v>53683</v>
      </c>
      <c r="J458">
        <v>71854.5</v>
      </c>
      <c r="K458" s="13">
        <v>43994</v>
      </c>
      <c r="L458">
        <v>74</v>
      </c>
      <c r="M458" t="s">
        <v>3523</v>
      </c>
    </row>
    <row r="459" spans="1:13" x14ac:dyDescent="0.35">
      <c r="A459" t="s">
        <v>844</v>
      </c>
      <c r="B459" t="s">
        <v>18</v>
      </c>
      <c r="C459">
        <v>39.799999999999997</v>
      </c>
      <c r="D459">
        <v>42.35</v>
      </c>
      <c r="E459">
        <v>39.799999999999997</v>
      </c>
      <c r="F459">
        <v>40.549999999999997</v>
      </c>
      <c r="G459">
        <v>40.450000000000003</v>
      </c>
      <c r="H459">
        <v>41.85</v>
      </c>
      <c r="I459">
        <v>14007</v>
      </c>
      <c r="J459">
        <v>568092.94999999995</v>
      </c>
      <c r="K459" s="13">
        <v>43994</v>
      </c>
      <c r="L459">
        <v>208</v>
      </c>
      <c r="M459" t="s">
        <v>845</v>
      </c>
    </row>
    <row r="460" spans="1:13" x14ac:dyDescent="0.35">
      <c r="A460" t="s">
        <v>3524</v>
      </c>
      <c r="B460" t="s">
        <v>3381</v>
      </c>
      <c r="C460">
        <v>90.3</v>
      </c>
      <c r="D460">
        <v>90.3</v>
      </c>
      <c r="E460">
        <v>90.3</v>
      </c>
      <c r="F460">
        <v>90.3</v>
      </c>
      <c r="G460">
        <v>90.3</v>
      </c>
      <c r="H460">
        <v>90.3</v>
      </c>
      <c r="I460">
        <v>600</v>
      </c>
      <c r="J460">
        <v>54180</v>
      </c>
      <c r="K460" s="13">
        <v>43994</v>
      </c>
      <c r="L460">
        <v>1</v>
      </c>
      <c r="M460" t="s">
        <v>3525</v>
      </c>
    </row>
    <row r="461" spans="1:13" x14ac:dyDescent="0.35">
      <c r="A461" t="s">
        <v>846</v>
      </c>
      <c r="B461" t="s">
        <v>18</v>
      </c>
      <c r="C461">
        <v>65</v>
      </c>
      <c r="D461">
        <v>66.400000000000006</v>
      </c>
      <c r="E461">
        <v>63.6</v>
      </c>
      <c r="F461">
        <v>65.8</v>
      </c>
      <c r="G461">
        <v>66.349999999999994</v>
      </c>
      <c r="H461">
        <v>66.900000000000006</v>
      </c>
      <c r="I461">
        <v>5762</v>
      </c>
      <c r="J461">
        <v>372179.85</v>
      </c>
      <c r="K461" s="13">
        <v>43994</v>
      </c>
      <c r="L461">
        <v>115</v>
      </c>
      <c r="M461" t="s">
        <v>847</v>
      </c>
    </row>
    <row r="462" spans="1:13" x14ac:dyDescent="0.35">
      <c r="A462" t="s">
        <v>3526</v>
      </c>
      <c r="B462" t="s">
        <v>3386</v>
      </c>
      <c r="C462">
        <v>8.5</v>
      </c>
      <c r="D462">
        <v>8.5</v>
      </c>
      <c r="E462">
        <v>8.5</v>
      </c>
      <c r="F462">
        <v>8.5</v>
      </c>
      <c r="G462">
        <v>8.5</v>
      </c>
      <c r="H462">
        <v>8.57</v>
      </c>
      <c r="I462">
        <v>20</v>
      </c>
      <c r="J462">
        <v>170</v>
      </c>
      <c r="K462" s="13">
        <v>43994</v>
      </c>
      <c r="L462">
        <v>3</v>
      </c>
      <c r="M462" t="s">
        <v>3527</v>
      </c>
    </row>
    <row r="463" spans="1:13" x14ac:dyDescent="0.35">
      <c r="A463" t="s">
        <v>3528</v>
      </c>
      <c r="B463" t="s">
        <v>3386</v>
      </c>
      <c r="C463">
        <v>8.1</v>
      </c>
      <c r="D463">
        <v>8.3000000000000007</v>
      </c>
      <c r="E463">
        <v>8.0299999999999994</v>
      </c>
      <c r="F463">
        <v>8.1999999999999993</v>
      </c>
      <c r="G463">
        <v>8.1300000000000008</v>
      </c>
      <c r="H463">
        <v>8.3000000000000007</v>
      </c>
      <c r="I463">
        <v>36480</v>
      </c>
      <c r="J463">
        <v>296241.40000000002</v>
      </c>
      <c r="K463" s="13">
        <v>43994</v>
      </c>
      <c r="L463">
        <v>17</v>
      </c>
      <c r="M463" t="s">
        <v>3529</v>
      </c>
    </row>
    <row r="464" spans="1:13" x14ac:dyDescent="0.35">
      <c r="A464" t="s">
        <v>848</v>
      </c>
      <c r="B464" t="s">
        <v>18</v>
      </c>
      <c r="C464">
        <v>825.1</v>
      </c>
      <c r="D464">
        <v>833.95</v>
      </c>
      <c r="E464">
        <v>793.85</v>
      </c>
      <c r="F464">
        <v>821.6</v>
      </c>
      <c r="G464">
        <v>816.1</v>
      </c>
      <c r="H464">
        <v>851.25</v>
      </c>
      <c r="I464">
        <v>125844</v>
      </c>
      <c r="J464">
        <v>102892918.2</v>
      </c>
      <c r="K464" s="13">
        <v>43994</v>
      </c>
      <c r="L464">
        <v>12354</v>
      </c>
      <c r="M464" t="s">
        <v>849</v>
      </c>
    </row>
    <row r="465" spans="1:13" x14ac:dyDescent="0.35">
      <c r="A465" t="s">
        <v>850</v>
      </c>
      <c r="B465" t="s">
        <v>18</v>
      </c>
      <c r="C465">
        <v>6.75</v>
      </c>
      <c r="D465">
        <v>7.05</v>
      </c>
      <c r="E465">
        <v>6.7</v>
      </c>
      <c r="F465">
        <v>6.75</v>
      </c>
      <c r="G465">
        <v>6.75</v>
      </c>
      <c r="H465">
        <v>7.05</v>
      </c>
      <c r="I465">
        <v>10143</v>
      </c>
      <c r="J465">
        <v>68823.55</v>
      </c>
      <c r="K465" s="13">
        <v>43994</v>
      </c>
      <c r="L465">
        <v>80</v>
      </c>
      <c r="M465" t="s">
        <v>851</v>
      </c>
    </row>
    <row r="466" spans="1:13" x14ac:dyDescent="0.35">
      <c r="A466" t="s">
        <v>39</v>
      </c>
      <c r="B466" t="s">
        <v>18</v>
      </c>
      <c r="C466">
        <v>66.2</v>
      </c>
      <c r="D466">
        <v>69.95</v>
      </c>
      <c r="E466">
        <v>66</v>
      </c>
      <c r="F466">
        <v>69.650000000000006</v>
      </c>
      <c r="G466">
        <v>69</v>
      </c>
      <c r="H466">
        <v>68.849999999999994</v>
      </c>
      <c r="I466">
        <v>1243940</v>
      </c>
      <c r="J466">
        <v>85252069.049999997</v>
      </c>
      <c r="K466" s="13">
        <v>43994</v>
      </c>
      <c r="L466">
        <v>8447</v>
      </c>
      <c r="M466" t="s">
        <v>852</v>
      </c>
    </row>
    <row r="467" spans="1:13" x14ac:dyDescent="0.35">
      <c r="A467" t="s">
        <v>853</v>
      </c>
      <c r="B467" t="s">
        <v>18</v>
      </c>
      <c r="C467">
        <v>145</v>
      </c>
      <c r="D467">
        <v>154.9</v>
      </c>
      <c r="E467">
        <v>144.94999999999999</v>
      </c>
      <c r="F467">
        <v>147.30000000000001</v>
      </c>
      <c r="G467">
        <v>147</v>
      </c>
      <c r="H467">
        <v>151.05000000000001</v>
      </c>
      <c r="I467">
        <v>11785</v>
      </c>
      <c r="J467">
        <v>1717474.2</v>
      </c>
      <c r="K467" s="13">
        <v>43994</v>
      </c>
      <c r="L467">
        <v>211</v>
      </c>
      <c r="M467" t="s">
        <v>854</v>
      </c>
    </row>
    <row r="468" spans="1:13" x14ac:dyDescent="0.35">
      <c r="A468" t="s">
        <v>855</v>
      </c>
      <c r="B468" t="s">
        <v>18</v>
      </c>
      <c r="C468">
        <v>280</v>
      </c>
      <c r="D468">
        <v>305</v>
      </c>
      <c r="E468">
        <v>280</v>
      </c>
      <c r="F468">
        <v>296</v>
      </c>
      <c r="G468">
        <v>296</v>
      </c>
      <c r="H468">
        <v>305.95</v>
      </c>
      <c r="I468">
        <v>34</v>
      </c>
      <c r="J468">
        <v>10101.5</v>
      </c>
      <c r="K468" s="13">
        <v>43994</v>
      </c>
      <c r="L468">
        <v>9</v>
      </c>
      <c r="M468" t="s">
        <v>856</v>
      </c>
    </row>
    <row r="469" spans="1:13" x14ac:dyDescent="0.35">
      <c r="A469" t="s">
        <v>857</v>
      </c>
      <c r="B469" t="s">
        <v>18</v>
      </c>
      <c r="C469">
        <v>45</v>
      </c>
      <c r="D469">
        <v>49.35</v>
      </c>
      <c r="E469">
        <v>44.6</v>
      </c>
      <c r="F469">
        <v>49</v>
      </c>
      <c r="G469">
        <v>48.8</v>
      </c>
      <c r="H469">
        <v>48.2</v>
      </c>
      <c r="I469">
        <v>21256179</v>
      </c>
      <c r="J469">
        <v>1001434572.95</v>
      </c>
      <c r="K469" s="13">
        <v>43994</v>
      </c>
      <c r="L469">
        <v>51094</v>
      </c>
      <c r="M469" t="s">
        <v>858</v>
      </c>
    </row>
    <row r="470" spans="1:13" x14ac:dyDescent="0.35">
      <c r="A470" t="s">
        <v>3530</v>
      </c>
      <c r="B470" t="s">
        <v>3531</v>
      </c>
      <c r="C470">
        <v>940.6</v>
      </c>
      <c r="D470">
        <v>940.6</v>
      </c>
      <c r="E470">
        <v>940.6</v>
      </c>
      <c r="F470">
        <v>940.6</v>
      </c>
      <c r="G470">
        <v>940.6</v>
      </c>
      <c r="H470">
        <v>900</v>
      </c>
      <c r="I470">
        <v>4</v>
      </c>
      <c r="J470">
        <v>3762.4</v>
      </c>
      <c r="K470" s="13">
        <v>43994</v>
      </c>
      <c r="L470">
        <v>2</v>
      </c>
      <c r="M470" t="s">
        <v>3532</v>
      </c>
    </row>
    <row r="471" spans="1:13" x14ac:dyDescent="0.35">
      <c r="A471" t="s">
        <v>3530</v>
      </c>
      <c r="B471" t="s">
        <v>3430</v>
      </c>
      <c r="C471">
        <v>869</v>
      </c>
      <c r="D471">
        <v>869</v>
      </c>
      <c r="E471">
        <v>861</v>
      </c>
      <c r="F471">
        <v>862.86</v>
      </c>
      <c r="G471">
        <v>865.99</v>
      </c>
      <c r="H471">
        <v>870</v>
      </c>
      <c r="I471">
        <v>715</v>
      </c>
      <c r="J471">
        <v>617770.74</v>
      </c>
      <c r="K471" s="13">
        <v>43994</v>
      </c>
      <c r="L471">
        <v>17</v>
      </c>
      <c r="M471" t="s">
        <v>3533</v>
      </c>
    </row>
    <row r="472" spans="1:13" x14ac:dyDescent="0.35">
      <c r="A472" t="s">
        <v>3530</v>
      </c>
      <c r="B472" t="s">
        <v>3512</v>
      </c>
      <c r="C472">
        <v>775</v>
      </c>
      <c r="D472">
        <v>775</v>
      </c>
      <c r="E472">
        <v>775</v>
      </c>
      <c r="F472">
        <v>775</v>
      </c>
      <c r="G472">
        <v>775</v>
      </c>
      <c r="H472">
        <v>800</v>
      </c>
      <c r="I472">
        <v>100</v>
      </c>
      <c r="J472">
        <v>77500</v>
      </c>
      <c r="K472" s="13">
        <v>43994</v>
      </c>
      <c r="L472">
        <v>1</v>
      </c>
      <c r="M472" t="s">
        <v>3534</v>
      </c>
    </row>
    <row r="473" spans="1:13" x14ac:dyDescent="0.35">
      <c r="A473" t="s">
        <v>3530</v>
      </c>
      <c r="B473" t="s">
        <v>3514</v>
      </c>
      <c r="C473">
        <v>700</v>
      </c>
      <c r="D473">
        <v>718.5</v>
      </c>
      <c r="E473">
        <v>700</v>
      </c>
      <c r="F473">
        <v>700.03</v>
      </c>
      <c r="G473">
        <v>700</v>
      </c>
      <c r="H473">
        <v>697</v>
      </c>
      <c r="I473">
        <v>686</v>
      </c>
      <c r="J473">
        <v>480232.85</v>
      </c>
      <c r="K473" s="13">
        <v>43994</v>
      </c>
      <c r="L473">
        <v>24</v>
      </c>
      <c r="M473" t="s">
        <v>3535</v>
      </c>
    </row>
    <row r="474" spans="1:13" x14ac:dyDescent="0.35">
      <c r="A474" t="s">
        <v>859</v>
      </c>
      <c r="B474" t="s">
        <v>18</v>
      </c>
      <c r="C474">
        <v>460</v>
      </c>
      <c r="D474">
        <v>479.7</v>
      </c>
      <c r="E474">
        <v>460</v>
      </c>
      <c r="F474">
        <v>475.35</v>
      </c>
      <c r="G474">
        <v>475.3</v>
      </c>
      <c r="H474">
        <v>480.55</v>
      </c>
      <c r="I474">
        <v>37726</v>
      </c>
      <c r="J474">
        <v>17885656.399999999</v>
      </c>
      <c r="K474" s="13">
        <v>43994</v>
      </c>
      <c r="L474">
        <v>2926</v>
      </c>
      <c r="M474" t="s">
        <v>860</v>
      </c>
    </row>
    <row r="475" spans="1:13" x14ac:dyDescent="0.35">
      <c r="A475" t="s">
        <v>861</v>
      </c>
      <c r="B475" t="s">
        <v>18</v>
      </c>
      <c r="C475">
        <v>17.55</v>
      </c>
      <c r="D475">
        <v>18</v>
      </c>
      <c r="E475">
        <v>16.75</v>
      </c>
      <c r="F475">
        <v>17.75</v>
      </c>
      <c r="G475">
        <v>17.95</v>
      </c>
      <c r="H475">
        <v>17.95</v>
      </c>
      <c r="I475">
        <v>548968</v>
      </c>
      <c r="J475">
        <v>9467572.0999999996</v>
      </c>
      <c r="K475" s="13">
        <v>43994</v>
      </c>
      <c r="L475">
        <v>1556</v>
      </c>
      <c r="M475" t="s">
        <v>862</v>
      </c>
    </row>
    <row r="476" spans="1:13" x14ac:dyDescent="0.35">
      <c r="A476" t="s">
        <v>863</v>
      </c>
      <c r="B476" t="s">
        <v>18</v>
      </c>
      <c r="C476">
        <v>1378</v>
      </c>
      <c r="D476">
        <v>1445</v>
      </c>
      <c r="E476">
        <v>1378</v>
      </c>
      <c r="F476">
        <v>1413.35</v>
      </c>
      <c r="G476">
        <v>1425</v>
      </c>
      <c r="H476">
        <v>1479.25</v>
      </c>
      <c r="I476">
        <v>14477</v>
      </c>
      <c r="J476">
        <v>20373493.300000001</v>
      </c>
      <c r="K476" s="13">
        <v>43994</v>
      </c>
      <c r="L476">
        <v>1679</v>
      </c>
      <c r="M476" t="s">
        <v>864</v>
      </c>
    </row>
    <row r="477" spans="1:13" x14ac:dyDescent="0.35">
      <c r="A477" t="s">
        <v>865</v>
      </c>
      <c r="B477" t="s">
        <v>18</v>
      </c>
      <c r="C477">
        <v>897</v>
      </c>
      <c r="D477">
        <v>986.4</v>
      </c>
      <c r="E477">
        <v>895.15</v>
      </c>
      <c r="F477">
        <v>977.6</v>
      </c>
      <c r="G477">
        <v>984.9</v>
      </c>
      <c r="H477">
        <v>918.35</v>
      </c>
      <c r="I477">
        <v>3325502</v>
      </c>
      <c r="J477">
        <v>3132270242.3000002</v>
      </c>
      <c r="K477" s="13">
        <v>43994</v>
      </c>
      <c r="L477">
        <v>76005</v>
      </c>
      <c r="M477" t="s">
        <v>866</v>
      </c>
    </row>
    <row r="478" spans="1:13" x14ac:dyDescent="0.35">
      <c r="A478" t="s">
        <v>867</v>
      </c>
      <c r="B478" t="s">
        <v>18</v>
      </c>
      <c r="C478">
        <v>7.95</v>
      </c>
      <c r="D478">
        <v>7.95</v>
      </c>
      <c r="E478">
        <v>7.55</v>
      </c>
      <c r="F478">
        <v>7.65</v>
      </c>
      <c r="G478">
        <v>7.8</v>
      </c>
      <c r="H478">
        <v>7.95</v>
      </c>
      <c r="I478">
        <v>26927</v>
      </c>
      <c r="J478">
        <v>206885.15</v>
      </c>
      <c r="K478" s="13">
        <v>43994</v>
      </c>
      <c r="L478">
        <v>113</v>
      </c>
      <c r="M478" t="s">
        <v>868</v>
      </c>
    </row>
    <row r="479" spans="1:13" x14ac:dyDescent="0.35">
      <c r="A479" t="s">
        <v>869</v>
      </c>
      <c r="B479" t="s">
        <v>18</v>
      </c>
      <c r="C479">
        <v>174.7</v>
      </c>
      <c r="D479">
        <v>178.4</v>
      </c>
      <c r="E479">
        <v>170.05</v>
      </c>
      <c r="F479">
        <v>176.15</v>
      </c>
      <c r="G479">
        <v>176</v>
      </c>
      <c r="H479">
        <v>175.85</v>
      </c>
      <c r="I479">
        <v>20603</v>
      </c>
      <c r="J479">
        <v>3599746.4</v>
      </c>
      <c r="K479" s="13">
        <v>43994</v>
      </c>
      <c r="L479">
        <v>748</v>
      </c>
      <c r="M479" t="s">
        <v>870</v>
      </c>
    </row>
    <row r="480" spans="1:13" x14ac:dyDescent="0.35">
      <c r="A480" t="s">
        <v>871</v>
      </c>
      <c r="B480" t="s">
        <v>18</v>
      </c>
      <c r="C480">
        <v>34.9</v>
      </c>
      <c r="D480">
        <v>39.25</v>
      </c>
      <c r="E480">
        <v>34.9</v>
      </c>
      <c r="F480">
        <v>38.1</v>
      </c>
      <c r="G480">
        <v>38.200000000000003</v>
      </c>
      <c r="H480">
        <v>37.65</v>
      </c>
      <c r="I480">
        <v>181936</v>
      </c>
      <c r="J480">
        <v>6877671.7999999998</v>
      </c>
      <c r="K480" s="13">
        <v>43994</v>
      </c>
      <c r="L480">
        <v>1024</v>
      </c>
      <c r="M480" t="s">
        <v>872</v>
      </c>
    </row>
    <row r="481" spans="1:13" x14ac:dyDescent="0.35">
      <c r="A481" t="s">
        <v>3536</v>
      </c>
      <c r="B481" t="s">
        <v>3414</v>
      </c>
      <c r="C481">
        <v>0.75</v>
      </c>
      <c r="D481">
        <v>0.75</v>
      </c>
      <c r="E481">
        <v>0.65</v>
      </c>
      <c r="F481">
        <v>0.65</v>
      </c>
      <c r="G481">
        <v>0.7</v>
      </c>
      <c r="H481">
        <v>0.7</v>
      </c>
      <c r="I481">
        <v>12478</v>
      </c>
      <c r="J481">
        <v>8874.0499999999993</v>
      </c>
      <c r="K481" s="13">
        <v>43994</v>
      </c>
      <c r="L481">
        <v>18</v>
      </c>
      <c r="M481" t="s">
        <v>3537</v>
      </c>
    </row>
    <row r="482" spans="1:13" x14ac:dyDescent="0.35">
      <c r="A482" t="s">
        <v>873</v>
      </c>
      <c r="B482" t="s">
        <v>18</v>
      </c>
      <c r="C482">
        <v>0.55000000000000004</v>
      </c>
      <c r="D482">
        <v>0.6</v>
      </c>
      <c r="E482">
        <v>0.55000000000000004</v>
      </c>
      <c r="F482">
        <v>0.6</v>
      </c>
      <c r="G482">
        <v>0.6</v>
      </c>
      <c r="H482">
        <v>0.6</v>
      </c>
      <c r="I482">
        <v>1197</v>
      </c>
      <c r="J482">
        <v>673.25</v>
      </c>
      <c r="K482" s="13">
        <v>43994</v>
      </c>
      <c r="L482">
        <v>6</v>
      </c>
      <c r="M482" t="s">
        <v>874</v>
      </c>
    </row>
    <row r="483" spans="1:13" x14ac:dyDescent="0.35">
      <c r="A483" t="s">
        <v>875</v>
      </c>
      <c r="B483" t="s">
        <v>18</v>
      </c>
      <c r="C483">
        <v>74</v>
      </c>
      <c r="D483">
        <v>80</v>
      </c>
      <c r="E483">
        <v>73.900000000000006</v>
      </c>
      <c r="F483">
        <v>79.599999999999994</v>
      </c>
      <c r="G483">
        <v>79.3</v>
      </c>
      <c r="H483">
        <v>77.75</v>
      </c>
      <c r="I483">
        <v>130638</v>
      </c>
      <c r="J483">
        <v>10085520.300000001</v>
      </c>
      <c r="K483" s="13">
        <v>43994</v>
      </c>
      <c r="L483">
        <v>1322</v>
      </c>
      <c r="M483" t="s">
        <v>876</v>
      </c>
    </row>
    <row r="484" spans="1:13" x14ac:dyDescent="0.35">
      <c r="A484" t="s">
        <v>877</v>
      </c>
      <c r="B484" t="s">
        <v>18</v>
      </c>
      <c r="C484">
        <v>183.7</v>
      </c>
      <c r="D484">
        <v>198</v>
      </c>
      <c r="E484">
        <v>183.35</v>
      </c>
      <c r="F484">
        <v>196.2</v>
      </c>
      <c r="G484">
        <v>198</v>
      </c>
      <c r="H484">
        <v>196.15</v>
      </c>
      <c r="I484">
        <v>75556</v>
      </c>
      <c r="J484">
        <v>14496627.199999999</v>
      </c>
      <c r="K484" s="13">
        <v>43994</v>
      </c>
      <c r="L484">
        <v>2469</v>
      </c>
      <c r="M484" t="s">
        <v>878</v>
      </c>
    </row>
    <row r="485" spans="1:13" x14ac:dyDescent="0.35">
      <c r="A485" t="s">
        <v>879</v>
      </c>
      <c r="B485" t="s">
        <v>18</v>
      </c>
      <c r="C485">
        <v>1.25</v>
      </c>
      <c r="D485">
        <v>1.25</v>
      </c>
      <c r="E485">
        <v>1.25</v>
      </c>
      <c r="F485">
        <v>1.25</v>
      </c>
      <c r="G485">
        <v>1.25</v>
      </c>
      <c r="H485">
        <v>1.2</v>
      </c>
      <c r="I485">
        <v>11150</v>
      </c>
      <c r="J485">
        <v>13937.5</v>
      </c>
      <c r="K485" s="13">
        <v>43994</v>
      </c>
      <c r="L485">
        <v>14</v>
      </c>
      <c r="M485" t="s">
        <v>880</v>
      </c>
    </row>
    <row r="486" spans="1:13" x14ac:dyDescent="0.35">
      <c r="A486" t="s">
        <v>881</v>
      </c>
      <c r="B486" t="s">
        <v>18</v>
      </c>
      <c r="C486">
        <v>680</v>
      </c>
      <c r="D486">
        <v>721.85</v>
      </c>
      <c r="E486">
        <v>678</v>
      </c>
      <c r="F486">
        <v>717.8</v>
      </c>
      <c r="G486">
        <v>716.45</v>
      </c>
      <c r="H486">
        <v>718.5</v>
      </c>
      <c r="I486">
        <v>50668</v>
      </c>
      <c r="J486">
        <v>35632140.700000003</v>
      </c>
      <c r="K486" s="13">
        <v>43994</v>
      </c>
      <c r="L486">
        <v>4855</v>
      </c>
      <c r="M486" t="s">
        <v>882</v>
      </c>
    </row>
    <row r="487" spans="1:13" x14ac:dyDescent="0.35">
      <c r="A487" t="s">
        <v>883</v>
      </c>
      <c r="B487" t="s">
        <v>18</v>
      </c>
      <c r="C487">
        <v>145</v>
      </c>
      <c r="D487">
        <v>155.44999999999999</v>
      </c>
      <c r="E487">
        <v>145</v>
      </c>
      <c r="F487">
        <v>154.55000000000001</v>
      </c>
      <c r="G487">
        <v>153.9</v>
      </c>
      <c r="H487">
        <v>151.25</v>
      </c>
      <c r="I487">
        <v>4988719</v>
      </c>
      <c r="J487">
        <v>753122240.95000005</v>
      </c>
      <c r="K487" s="13">
        <v>43994</v>
      </c>
      <c r="L487">
        <v>48990</v>
      </c>
      <c r="M487" t="s">
        <v>884</v>
      </c>
    </row>
    <row r="488" spans="1:13" x14ac:dyDescent="0.35">
      <c r="A488" t="s">
        <v>885</v>
      </c>
      <c r="B488" t="s">
        <v>18</v>
      </c>
      <c r="C488">
        <v>257</v>
      </c>
      <c r="D488">
        <v>264.95</v>
      </c>
      <c r="E488">
        <v>254.6</v>
      </c>
      <c r="F488">
        <v>261.05</v>
      </c>
      <c r="G488">
        <v>260</v>
      </c>
      <c r="H488">
        <v>268</v>
      </c>
      <c r="I488">
        <v>40078</v>
      </c>
      <c r="J488">
        <v>10330934.050000001</v>
      </c>
      <c r="K488" s="13">
        <v>43994</v>
      </c>
      <c r="L488">
        <v>855</v>
      </c>
      <c r="M488" t="s">
        <v>886</v>
      </c>
    </row>
    <row r="489" spans="1:13" x14ac:dyDescent="0.35">
      <c r="A489" t="s">
        <v>887</v>
      </c>
      <c r="B489" t="s">
        <v>18</v>
      </c>
      <c r="C489">
        <v>45.75</v>
      </c>
      <c r="D489">
        <v>45.75</v>
      </c>
      <c r="E489">
        <v>43.95</v>
      </c>
      <c r="F489">
        <v>44.3</v>
      </c>
      <c r="G489">
        <v>44.05</v>
      </c>
      <c r="H489">
        <v>46.05</v>
      </c>
      <c r="I489">
        <v>839743</v>
      </c>
      <c r="J489">
        <v>37436309.399999999</v>
      </c>
      <c r="K489" s="13">
        <v>43994</v>
      </c>
      <c r="L489">
        <v>4113</v>
      </c>
      <c r="M489" t="s">
        <v>888</v>
      </c>
    </row>
    <row r="490" spans="1:13" x14ac:dyDescent="0.35">
      <c r="A490" t="s">
        <v>889</v>
      </c>
      <c r="B490" t="s">
        <v>18</v>
      </c>
      <c r="C490">
        <v>533</v>
      </c>
      <c r="D490">
        <v>549.75</v>
      </c>
      <c r="E490">
        <v>532</v>
      </c>
      <c r="F490">
        <v>541.65</v>
      </c>
      <c r="G490">
        <v>547</v>
      </c>
      <c r="H490">
        <v>561.95000000000005</v>
      </c>
      <c r="I490">
        <v>57122</v>
      </c>
      <c r="J490">
        <v>30958000.199999999</v>
      </c>
      <c r="K490" s="13">
        <v>43994</v>
      </c>
      <c r="L490">
        <v>3062</v>
      </c>
      <c r="M490" t="s">
        <v>890</v>
      </c>
    </row>
    <row r="491" spans="1:13" x14ac:dyDescent="0.35">
      <c r="A491" t="s">
        <v>891</v>
      </c>
      <c r="B491" t="s">
        <v>18</v>
      </c>
      <c r="C491">
        <v>24.8</v>
      </c>
      <c r="D491">
        <v>26.5</v>
      </c>
      <c r="E491">
        <v>24.7</v>
      </c>
      <c r="F491">
        <v>26.05</v>
      </c>
      <c r="G491">
        <v>26.45</v>
      </c>
      <c r="H491">
        <v>26.2</v>
      </c>
      <c r="I491">
        <v>216784</v>
      </c>
      <c r="J491">
        <v>5554151.75</v>
      </c>
      <c r="K491" s="13">
        <v>43994</v>
      </c>
      <c r="L491">
        <v>1494</v>
      </c>
      <c r="M491" t="s">
        <v>892</v>
      </c>
    </row>
    <row r="492" spans="1:13" x14ac:dyDescent="0.35">
      <c r="A492" t="s">
        <v>893</v>
      </c>
      <c r="B492" t="s">
        <v>18</v>
      </c>
      <c r="C492">
        <v>10.5</v>
      </c>
      <c r="D492">
        <v>11.45</v>
      </c>
      <c r="E492">
        <v>10.45</v>
      </c>
      <c r="F492">
        <v>11.45</v>
      </c>
      <c r="G492">
        <v>11.45</v>
      </c>
      <c r="H492">
        <v>10.95</v>
      </c>
      <c r="I492">
        <v>12011643</v>
      </c>
      <c r="J492">
        <v>133553614.75</v>
      </c>
      <c r="K492" s="13">
        <v>43994</v>
      </c>
      <c r="L492">
        <v>8187</v>
      </c>
      <c r="M492" t="s">
        <v>894</v>
      </c>
    </row>
    <row r="493" spans="1:13" x14ac:dyDescent="0.35">
      <c r="A493" t="s">
        <v>895</v>
      </c>
      <c r="B493" t="s">
        <v>18</v>
      </c>
      <c r="C493">
        <v>0.25</v>
      </c>
      <c r="D493">
        <v>0.35</v>
      </c>
      <c r="E493">
        <v>0.25</v>
      </c>
      <c r="F493">
        <v>0.3</v>
      </c>
      <c r="G493">
        <v>0.3</v>
      </c>
      <c r="H493">
        <v>0.3</v>
      </c>
      <c r="I493">
        <v>2542629</v>
      </c>
      <c r="J493">
        <v>757133.8</v>
      </c>
      <c r="K493" s="13">
        <v>43994</v>
      </c>
      <c r="L493">
        <v>616</v>
      </c>
      <c r="M493" t="s">
        <v>896</v>
      </c>
    </row>
    <row r="494" spans="1:13" x14ac:dyDescent="0.35">
      <c r="A494" t="s">
        <v>897</v>
      </c>
      <c r="B494" t="s">
        <v>18</v>
      </c>
      <c r="C494">
        <v>243</v>
      </c>
      <c r="D494">
        <v>245.5</v>
      </c>
      <c r="E494">
        <v>241</v>
      </c>
      <c r="F494">
        <v>243.25</v>
      </c>
      <c r="G494">
        <v>243</v>
      </c>
      <c r="H494">
        <v>247.45</v>
      </c>
      <c r="I494">
        <v>201620</v>
      </c>
      <c r="J494">
        <v>49018348.799999997</v>
      </c>
      <c r="K494" s="13">
        <v>43994</v>
      </c>
      <c r="L494">
        <v>4671</v>
      </c>
      <c r="M494" t="s">
        <v>898</v>
      </c>
    </row>
    <row r="495" spans="1:13" x14ac:dyDescent="0.35">
      <c r="A495" t="s">
        <v>899</v>
      </c>
      <c r="B495" t="s">
        <v>18</v>
      </c>
      <c r="C495">
        <v>44.05</v>
      </c>
      <c r="D495">
        <v>49.5</v>
      </c>
      <c r="E495">
        <v>44.05</v>
      </c>
      <c r="F495">
        <v>48.85</v>
      </c>
      <c r="G495">
        <v>49.15</v>
      </c>
      <c r="H495">
        <v>48</v>
      </c>
      <c r="I495">
        <v>50052681</v>
      </c>
      <c r="J495">
        <v>2352705174.0999999</v>
      </c>
      <c r="K495" s="13">
        <v>43994</v>
      </c>
      <c r="L495">
        <v>76745</v>
      </c>
      <c r="M495" t="s">
        <v>900</v>
      </c>
    </row>
    <row r="496" spans="1:13" x14ac:dyDescent="0.35">
      <c r="A496" t="s">
        <v>901</v>
      </c>
      <c r="B496" t="s">
        <v>18</v>
      </c>
      <c r="C496">
        <v>11.8</v>
      </c>
      <c r="D496">
        <v>12.45</v>
      </c>
      <c r="E496">
        <v>11.6</v>
      </c>
      <c r="F496">
        <v>12</v>
      </c>
      <c r="G496">
        <v>12</v>
      </c>
      <c r="H496">
        <v>12.2</v>
      </c>
      <c r="I496">
        <v>1103046</v>
      </c>
      <c r="J496">
        <v>13258700.949999999</v>
      </c>
      <c r="K496" s="13">
        <v>43994</v>
      </c>
      <c r="L496">
        <v>1833</v>
      </c>
      <c r="M496" t="s">
        <v>902</v>
      </c>
    </row>
    <row r="497" spans="1:13" x14ac:dyDescent="0.35">
      <c r="A497" t="s">
        <v>903</v>
      </c>
      <c r="B497" t="s">
        <v>18</v>
      </c>
      <c r="C497">
        <v>12.85</v>
      </c>
      <c r="D497">
        <v>13.35</v>
      </c>
      <c r="E497">
        <v>12.35</v>
      </c>
      <c r="F497">
        <v>13</v>
      </c>
      <c r="G497">
        <v>13</v>
      </c>
      <c r="H497">
        <v>12.85</v>
      </c>
      <c r="I497">
        <v>153358</v>
      </c>
      <c r="J497">
        <v>1958743.4</v>
      </c>
      <c r="K497" s="13">
        <v>43994</v>
      </c>
      <c r="L497">
        <v>574</v>
      </c>
      <c r="M497" t="s">
        <v>904</v>
      </c>
    </row>
    <row r="498" spans="1:13" x14ac:dyDescent="0.35">
      <c r="A498" t="s">
        <v>3538</v>
      </c>
      <c r="B498" t="s">
        <v>3381</v>
      </c>
      <c r="C498">
        <v>13</v>
      </c>
      <c r="D498">
        <v>13</v>
      </c>
      <c r="E498">
        <v>13</v>
      </c>
      <c r="F498">
        <v>13</v>
      </c>
      <c r="G498">
        <v>13</v>
      </c>
      <c r="H498">
        <v>12.45</v>
      </c>
      <c r="I498">
        <v>4000</v>
      </c>
      <c r="J498">
        <v>52000</v>
      </c>
      <c r="K498" s="13">
        <v>43994</v>
      </c>
      <c r="L498">
        <v>1</v>
      </c>
      <c r="M498" t="s">
        <v>3539</v>
      </c>
    </row>
    <row r="499" spans="1:13" x14ac:dyDescent="0.35">
      <c r="A499" t="s">
        <v>905</v>
      </c>
      <c r="B499" t="s">
        <v>18</v>
      </c>
      <c r="C499">
        <v>276.3</v>
      </c>
      <c r="D499">
        <v>286</v>
      </c>
      <c r="E499">
        <v>276.3</v>
      </c>
      <c r="F499">
        <v>283.95</v>
      </c>
      <c r="G499">
        <v>282.5</v>
      </c>
      <c r="H499">
        <v>286.60000000000002</v>
      </c>
      <c r="I499">
        <v>8759</v>
      </c>
      <c r="J499">
        <v>2480587.65</v>
      </c>
      <c r="K499" s="13">
        <v>43994</v>
      </c>
      <c r="L499">
        <v>495</v>
      </c>
      <c r="M499" t="s">
        <v>906</v>
      </c>
    </row>
    <row r="500" spans="1:13" x14ac:dyDescent="0.35">
      <c r="A500" t="s">
        <v>907</v>
      </c>
      <c r="B500" t="s">
        <v>18</v>
      </c>
      <c r="C500">
        <v>25.25</v>
      </c>
      <c r="D500">
        <v>29.6</v>
      </c>
      <c r="E500">
        <v>25.25</v>
      </c>
      <c r="F500">
        <v>28.4</v>
      </c>
      <c r="G500">
        <v>28.15</v>
      </c>
      <c r="H500">
        <v>27.8</v>
      </c>
      <c r="I500">
        <v>119122</v>
      </c>
      <c r="J500">
        <v>3313126.4</v>
      </c>
      <c r="K500" s="13">
        <v>43994</v>
      </c>
      <c r="L500">
        <v>591</v>
      </c>
      <c r="M500" t="s">
        <v>908</v>
      </c>
    </row>
    <row r="501" spans="1:13" x14ac:dyDescent="0.35">
      <c r="A501" t="s">
        <v>909</v>
      </c>
      <c r="B501" t="s">
        <v>18</v>
      </c>
      <c r="C501">
        <v>257</v>
      </c>
      <c r="D501">
        <v>258.95</v>
      </c>
      <c r="E501">
        <v>245</v>
      </c>
      <c r="F501">
        <v>256.5</v>
      </c>
      <c r="G501">
        <v>257.95</v>
      </c>
      <c r="H501">
        <v>262.75</v>
      </c>
      <c r="I501">
        <v>107492</v>
      </c>
      <c r="J501">
        <v>27154259.600000001</v>
      </c>
      <c r="K501" s="13">
        <v>43994</v>
      </c>
      <c r="L501">
        <v>4031</v>
      </c>
      <c r="M501" t="s">
        <v>910</v>
      </c>
    </row>
    <row r="502" spans="1:13" x14ac:dyDescent="0.35">
      <c r="A502" t="s">
        <v>911</v>
      </c>
      <c r="B502" t="s">
        <v>18</v>
      </c>
      <c r="C502">
        <v>1890</v>
      </c>
      <c r="D502">
        <v>1980.95</v>
      </c>
      <c r="E502">
        <v>1877.15</v>
      </c>
      <c r="F502">
        <v>1940.55</v>
      </c>
      <c r="G502">
        <v>1945.45</v>
      </c>
      <c r="H502">
        <v>1935.1</v>
      </c>
      <c r="I502">
        <v>9244</v>
      </c>
      <c r="J502">
        <v>17958385.5</v>
      </c>
      <c r="K502" s="13">
        <v>43994</v>
      </c>
      <c r="L502">
        <v>1813</v>
      </c>
      <c r="M502" t="s">
        <v>912</v>
      </c>
    </row>
    <row r="503" spans="1:13" x14ac:dyDescent="0.35">
      <c r="A503" t="s">
        <v>913</v>
      </c>
      <c r="B503" t="s">
        <v>18</v>
      </c>
      <c r="C503">
        <v>458</v>
      </c>
      <c r="D503">
        <v>465.95</v>
      </c>
      <c r="E503">
        <v>442</v>
      </c>
      <c r="F503">
        <v>464.05</v>
      </c>
      <c r="G503">
        <v>465.95</v>
      </c>
      <c r="H503">
        <v>464.6</v>
      </c>
      <c r="I503">
        <v>32796</v>
      </c>
      <c r="J503">
        <v>14913971.85</v>
      </c>
      <c r="K503" s="13">
        <v>43994</v>
      </c>
      <c r="L503">
        <v>4479</v>
      </c>
      <c r="M503" t="s">
        <v>914</v>
      </c>
    </row>
    <row r="504" spans="1:13" x14ac:dyDescent="0.35">
      <c r="A504" t="s">
        <v>915</v>
      </c>
      <c r="B504" t="s">
        <v>18</v>
      </c>
      <c r="C504">
        <v>6.05</v>
      </c>
      <c r="D504">
        <v>6.05</v>
      </c>
      <c r="E504">
        <v>6.05</v>
      </c>
      <c r="F504">
        <v>6.05</v>
      </c>
      <c r="G504">
        <v>6.05</v>
      </c>
      <c r="H504">
        <v>5.8</v>
      </c>
      <c r="I504">
        <v>14679</v>
      </c>
      <c r="J504">
        <v>88807.95</v>
      </c>
      <c r="K504" s="13">
        <v>43994</v>
      </c>
      <c r="L504">
        <v>39</v>
      </c>
      <c r="M504" t="s">
        <v>916</v>
      </c>
    </row>
    <row r="505" spans="1:13" x14ac:dyDescent="0.35">
      <c r="A505" t="s">
        <v>917</v>
      </c>
      <c r="B505" t="s">
        <v>18</v>
      </c>
      <c r="C505">
        <v>142</v>
      </c>
      <c r="D505">
        <v>151</v>
      </c>
      <c r="E505">
        <v>140.55000000000001</v>
      </c>
      <c r="F505">
        <v>146.75</v>
      </c>
      <c r="G505">
        <v>146.75</v>
      </c>
      <c r="H505">
        <v>146.69999999999999</v>
      </c>
      <c r="I505">
        <v>111819</v>
      </c>
      <c r="J505">
        <v>16259617.300000001</v>
      </c>
      <c r="K505" s="13">
        <v>43994</v>
      </c>
      <c r="L505">
        <v>2007</v>
      </c>
      <c r="M505" t="s">
        <v>918</v>
      </c>
    </row>
    <row r="506" spans="1:13" x14ac:dyDescent="0.35">
      <c r="A506" t="s">
        <v>919</v>
      </c>
      <c r="B506" t="s">
        <v>18</v>
      </c>
      <c r="C506">
        <v>348</v>
      </c>
      <c r="D506">
        <v>371.9</v>
      </c>
      <c r="E506">
        <v>348</v>
      </c>
      <c r="F506">
        <v>360.05</v>
      </c>
      <c r="G506">
        <v>359</v>
      </c>
      <c r="H506">
        <v>372.15</v>
      </c>
      <c r="I506">
        <v>26156</v>
      </c>
      <c r="J506">
        <v>9444823.0999999996</v>
      </c>
      <c r="K506" s="13">
        <v>43994</v>
      </c>
      <c r="L506">
        <v>426</v>
      </c>
      <c r="M506" t="s">
        <v>920</v>
      </c>
    </row>
    <row r="507" spans="1:13" x14ac:dyDescent="0.35">
      <c r="A507" t="s">
        <v>921</v>
      </c>
      <c r="B507" t="s">
        <v>18</v>
      </c>
      <c r="C507">
        <v>410.5</v>
      </c>
      <c r="D507">
        <v>419.4</v>
      </c>
      <c r="E507">
        <v>410.5</v>
      </c>
      <c r="F507">
        <v>412.4</v>
      </c>
      <c r="G507">
        <v>413</v>
      </c>
      <c r="H507">
        <v>432.1</v>
      </c>
      <c r="I507">
        <v>2271</v>
      </c>
      <c r="J507">
        <v>936863.65</v>
      </c>
      <c r="K507" s="13">
        <v>43994</v>
      </c>
      <c r="L507">
        <v>119</v>
      </c>
      <c r="M507" t="s">
        <v>922</v>
      </c>
    </row>
    <row r="508" spans="1:13" x14ac:dyDescent="0.35">
      <c r="A508" t="s">
        <v>923</v>
      </c>
      <c r="B508" t="s">
        <v>18</v>
      </c>
      <c r="C508">
        <v>18.3</v>
      </c>
      <c r="D508">
        <v>20.9</v>
      </c>
      <c r="E508">
        <v>18.3</v>
      </c>
      <c r="F508">
        <v>20.5</v>
      </c>
      <c r="G508">
        <v>20.2</v>
      </c>
      <c r="H508">
        <v>20.100000000000001</v>
      </c>
      <c r="I508">
        <v>54773</v>
      </c>
      <c r="J508">
        <v>1080575.3500000001</v>
      </c>
      <c r="K508" s="13">
        <v>43994</v>
      </c>
      <c r="L508">
        <v>298</v>
      </c>
      <c r="M508" t="s">
        <v>924</v>
      </c>
    </row>
    <row r="509" spans="1:13" x14ac:dyDescent="0.35">
      <c r="A509" t="s">
        <v>3540</v>
      </c>
      <c r="B509" t="s">
        <v>3381</v>
      </c>
      <c r="C509">
        <v>17.350000000000001</v>
      </c>
      <c r="D509">
        <v>18</v>
      </c>
      <c r="E509">
        <v>17.350000000000001</v>
      </c>
      <c r="F509">
        <v>18</v>
      </c>
      <c r="G509">
        <v>18</v>
      </c>
      <c r="H509">
        <v>17.350000000000001</v>
      </c>
      <c r="I509">
        <v>6000</v>
      </c>
      <c r="J509">
        <v>106050</v>
      </c>
      <c r="K509" s="13">
        <v>43994</v>
      </c>
      <c r="L509">
        <v>2</v>
      </c>
      <c r="M509" t="s">
        <v>3541</v>
      </c>
    </row>
    <row r="510" spans="1:13" x14ac:dyDescent="0.35">
      <c r="A510" t="s">
        <v>925</v>
      </c>
      <c r="B510" t="s">
        <v>18</v>
      </c>
      <c r="C510">
        <v>900</v>
      </c>
      <c r="D510">
        <v>910.1</v>
      </c>
      <c r="E510">
        <v>875</v>
      </c>
      <c r="F510">
        <v>902.85</v>
      </c>
      <c r="G510">
        <v>900</v>
      </c>
      <c r="H510">
        <v>905.65</v>
      </c>
      <c r="I510">
        <v>29453</v>
      </c>
      <c r="J510">
        <v>26260936.350000001</v>
      </c>
      <c r="K510" s="13">
        <v>43994</v>
      </c>
      <c r="L510">
        <v>2310</v>
      </c>
      <c r="M510" t="s">
        <v>926</v>
      </c>
    </row>
    <row r="511" spans="1:13" x14ac:dyDescent="0.35">
      <c r="A511" t="s">
        <v>927</v>
      </c>
      <c r="B511" t="s">
        <v>18</v>
      </c>
      <c r="C511">
        <v>117.1</v>
      </c>
      <c r="D511">
        <v>122.35</v>
      </c>
      <c r="E511">
        <v>116.8</v>
      </c>
      <c r="F511">
        <v>120.2</v>
      </c>
      <c r="G511">
        <v>120.1</v>
      </c>
      <c r="H511">
        <v>120.1</v>
      </c>
      <c r="I511">
        <v>3877838</v>
      </c>
      <c r="J511">
        <v>462794282.19999999</v>
      </c>
      <c r="K511" s="13">
        <v>43994</v>
      </c>
      <c r="L511">
        <v>9145</v>
      </c>
      <c r="M511" t="s">
        <v>928</v>
      </c>
    </row>
    <row r="512" spans="1:13" x14ac:dyDescent="0.35">
      <c r="A512" t="s">
        <v>929</v>
      </c>
      <c r="B512" t="s">
        <v>18</v>
      </c>
      <c r="C512">
        <v>1051</v>
      </c>
      <c r="D512">
        <v>1088</v>
      </c>
      <c r="E512">
        <v>1015</v>
      </c>
      <c r="F512">
        <v>1061.45</v>
      </c>
      <c r="G512">
        <v>1045</v>
      </c>
      <c r="H512">
        <v>1055.0999999999999</v>
      </c>
      <c r="I512">
        <v>553</v>
      </c>
      <c r="J512">
        <v>576539.1</v>
      </c>
      <c r="K512" s="13">
        <v>43994</v>
      </c>
      <c r="L512">
        <v>118</v>
      </c>
      <c r="M512" t="s">
        <v>930</v>
      </c>
    </row>
    <row r="513" spans="1:13" x14ac:dyDescent="0.35">
      <c r="A513" t="s">
        <v>931</v>
      </c>
      <c r="B513" t="s">
        <v>18</v>
      </c>
      <c r="C513">
        <v>107.95</v>
      </c>
      <c r="D513">
        <v>115.05</v>
      </c>
      <c r="E513">
        <v>104.15</v>
      </c>
      <c r="F513">
        <v>109.85</v>
      </c>
      <c r="G513">
        <v>109.8</v>
      </c>
      <c r="H513">
        <v>109.6</v>
      </c>
      <c r="I513">
        <v>9824577</v>
      </c>
      <c r="J513">
        <v>1088702856.95</v>
      </c>
      <c r="K513" s="13">
        <v>43994</v>
      </c>
      <c r="L513">
        <v>46203</v>
      </c>
      <c r="M513" t="s">
        <v>932</v>
      </c>
    </row>
    <row r="514" spans="1:13" x14ac:dyDescent="0.35">
      <c r="A514" t="s">
        <v>933</v>
      </c>
      <c r="B514" t="s">
        <v>18</v>
      </c>
      <c r="C514">
        <v>132.15</v>
      </c>
      <c r="D514">
        <v>134</v>
      </c>
      <c r="E514">
        <v>127.15</v>
      </c>
      <c r="F514">
        <v>129.44999999999999</v>
      </c>
      <c r="G514">
        <v>130</v>
      </c>
      <c r="H514">
        <v>132.15</v>
      </c>
      <c r="I514">
        <v>45475</v>
      </c>
      <c r="J514">
        <v>5910198.4500000002</v>
      </c>
      <c r="K514" s="13">
        <v>43994</v>
      </c>
      <c r="L514">
        <v>1157</v>
      </c>
      <c r="M514" t="s">
        <v>934</v>
      </c>
    </row>
    <row r="515" spans="1:13" x14ac:dyDescent="0.35">
      <c r="A515" t="s">
        <v>935</v>
      </c>
      <c r="B515" t="s">
        <v>18</v>
      </c>
      <c r="C515">
        <v>36.200000000000003</v>
      </c>
      <c r="D515">
        <v>38.25</v>
      </c>
      <c r="E515">
        <v>36</v>
      </c>
      <c r="F515">
        <v>37.65</v>
      </c>
      <c r="G515">
        <v>37.4</v>
      </c>
      <c r="H515">
        <v>38</v>
      </c>
      <c r="I515">
        <v>2400156</v>
      </c>
      <c r="J515">
        <v>89481577.650000006</v>
      </c>
      <c r="K515" s="13">
        <v>43994</v>
      </c>
      <c r="L515">
        <v>9343</v>
      </c>
      <c r="M515" t="s">
        <v>936</v>
      </c>
    </row>
    <row r="516" spans="1:13" x14ac:dyDescent="0.35">
      <c r="A516" t="s">
        <v>937</v>
      </c>
      <c r="B516" t="s">
        <v>18</v>
      </c>
      <c r="C516">
        <v>89</v>
      </c>
      <c r="D516">
        <v>97.75</v>
      </c>
      <c r="E516">
        <v>85.15</v>
      </c>
      <c r="F516">
        <v>95.65</v>
      </c>
      <c r="G516">
        <v>95.1</v>
      </c>
      <c r="H516">
        <v>93.75</v>
      </c>
      <c r="I516">
        <v>92916</v>
      </c>
      <c r="J516">
        <v>8613212.8499999996</v>
      </c>
      <c r="K516" s="13">
        <v>43994</v>
      </c>
      <c r="L516">
        <v>1507</v>
      </c>
      <c r="M516" t="s">
        <v>938</v>
      </c>
    </row>
    <row r="517" spans="1:13" x14ac:dyDescent="0.35">
      <c r="A517" t="s">
        <v>939</v>
      </c>
      <c r="B517" t="s">
        <v>18</v>
      </c>
      <c r="C517">
        <v>125.95</v>
      </c>
      <c r="D517">
        <v>132.94999999999999</v>
      </c>
      <c r="E517">
        <v>123.6</v>
      </c>
      <c r="F517">
        <v>131.80000000000001</v>
      </c>
      <c r="G517">
        <v>131.30000000000001</v>
      </c>
      <c r="H517">
        <v>128.9</v>
      </c>
      <c r="I517">
        <v>68484</v>
      </c>
      <c r="J517">
        <v>8855790.4499999993</v>
      </c>
      <c r="K517" s="13">
        <v>43994</v>
      </c>
      <c r="L517">
        <v>1137</v>
      </c>
      <c r="M517" t="s">
        <v>940</v>
      </c>
    </row>
    <row r="518" spans="1:13" x14ac:dyDescent="0.35">
      <c r="A518" t="s">
        <v>941</v>
      </c>
      <c r="B518" t="s">
        <v>18</v>
      </c>
      <c r="C518">
        <v>91.5</v>
      </c>
      <c r="D518">
        <v>97</v>
      </c>
      <c r="E518">
        <v>91.25</v>
      </c>
      <c r="F518">
        <v>96.35</v>
      </c>
      <c r="G518">
        <v>96.3</v>
      </c>
      <c r="H518">
        <v>95.55</v>
      </c>
      <c r="I518">
        <v>23511132</v>
      </c>
      <c r="J518">
        <v>2242803440.0500002</v>
      </c>
      <c r="K518" s="13">
        <v>43994</v>
      </c>
      <c r="L518">
        <v>94006</v>
      </c>
      <c r="M518" t="s">
        <v>942</v>
      </c>
    </row>
    <row r="519" spans="1:13" x14ac:dyDescent="0.35">
      <c r="A519" t="s">
        <v>943</v>
      </c>
      <c r="B519" t="s">
        <v>18</v>
      </c>
      <c r="C519">
        <v>2.4</v>
      </c>
      <c r="D519">
        <v>2.4</v>
      </c>
      <c r="E519">
        <v>2.2000000000000002</v>
      </c>
      <c r="F519">
        <v>2.4</v>
      </c>
      <c r="G519">
        <v>2.4</v>
      </c>
      <c r="H519">
        <v>2.2999999999999998</v>
      </c>
      <c r="I519">
        <v>87920</v>
      </c>
      <c r="J519">
        <v>205014.39999999999</v>
      </c>
      <c r="K519" s="13">
        <v>43994</v>
      </c>
      <c r="L519">
        <v>138</v>
      </c>
      <c r="M519" t="s">
        <v>944</v>
      </c>
    </row>
    <row r="520" spans="1:13" x14ac:dyDescent="0.35">
      <c r="A520" t="s">
        <v>945</v>
      </c>
      <c r="B520" t="s">
        <v>18</v>
      </c>
      <c r="C520">
        <v>1296.55</v>
      </c>
      <c r="D520">
        <v>1340</v>
      </c>
      <c r="E520">
        <v>1286.0999999999999</v>
      </c>
      <c r="F520">
        <v>1320.05</v>
      </c>
      <c r="G520">
        <v>1325</v>
      </c>
      <c r="H520">
        <v>1317.75</v>
      </c>
      <c r="I520">
        <v>6326</v>
      </c>
      <c r="J520">
        <v>8312667.75</v>
      </c>
      <c r="K520" s="13">
        <v>43994</v>
      </c>
      <c r="L520">
        <v>1415</v>
      </c>
      <c r="M520" t="s">
        <v>946</v>
      </c>
    </row>
    <row r="521" spans="1:13" x14ac:dyDescent="0.35">
      <c r="A521" t="s">
        <v>947</v>
      </c>
      <c r="B521" t="s">
        <v>18</v>
      </c>
      <c r="C521">
        <v>28.05</v>
      </c>
      <c r="D521">
        <v>29.9</v>
      </c>
      <c r="E521">
        <v>26.15</v>
      </c>
      <c r="F521">
        <v>29.4</v>
      </c>
      <c r="G521">
        <v>29.65</v>
      </c>
      <c r="H521">
        <v>28.9</v>
      </c>
      <c r="I521">
        <v>10125</v>
      </c>
      <c r="J521">
        <v>290992.75</v>
      </c>
      <c r="K521" s="13">
        <v>43994</v>
      </c>
      <c r="L521">
        <v>297</v>
      </c>
      <c r="M521" t="s">
        <v>948</v>
      </c>
    </row>
    <row r="522" spans="1:13" x14ac:dyDescent="0.35">
      <c r="A522" t="s">
        <v>949</v>
      </c>
      <c r="B522" t="s">
        <v>18</v>
      </c>
      <c r="C522">
        <v>24.5</v>
      </c>
      <c r="D522">
        <v>27.45</v>
      </c>
      <c r="E522">
        <v>22.8</v>
      </c>
      <c r="F522">
        <v>26.8</v>
      </c>
      <c r="G522">
        <v>26.9</v>
      </c>
      <c r="H522">
        <v>26.55</v>
      </c>
      <c r="I522">
        <v>15263</v>
      </c>
      <c r="J522">
        <v>399945.95</v>
      </c>
      <c r="K522" s="13">
        <v>43994</v>
      </c>
      <c r="L522">
        <v>114</v>
      </c>
      <c r="M522" t="s">
        <v>950</v>
      </c>
    </row>
    <row r="523" spans="1:13" x14ac:dyDescent="0.35">
      <c r="A523" t="s">
        <v>951</v>
      </c>
      <c r="B523" t="s">
        <v>18</v>
      </c>
      <c r="C523">
        <v>0.5</v>
      </c>
      <c r="D523">
        <v>0.55000000000000004</v>
      </c>
      <c r="E523">
        <v>0.5</v>
      </c>
      <c r="F523">
        <v>0.55000000000000004</v>
      </c>
      <c r="G523">
        <v>0.55000000000000004</v>
      </c>
      <c r="H523">
        <v>0.55000000000000004</v>
      </c>
      <c r="I523">
        <v>1696349</v>
      </c>
      <c r="J523">
        <v>898325.7</v>
      </c>
      <c r="K523" s="13">
        <v>43994</v>
      </c>
      <c r="L523">
        <v>530</v>
      </c>
      <c r="M523" t="s">
        <v>952</v>
      </c>
    </row>
    <row r="524" spans="1:13" x14ac:dyDescent="0.35">
      <c r="A524" t="s">
        <v>953</v>
      </c>
      <c r="B524" t="s">
        <v>18</v>
      </c>
      <c r="C524">
        <v>185.3</v>
      </c>
      <c r="D524">
        <v>204</v>
      </c>
      <c r="E524">
        <v>181</v>
      </c>
      <c r="F524">
        <v>200</v>
      </c>
      <c r="G524">
        <v>199.5</v>
      </c>
      <c r="H524">
        <v>201.8</v>
      </c>
      <c r="I524">
        <v>14126</v>
      </c>
      <c r="J524">
        <v>2728465.2</v>
      </c>
      <c r="K524" s="13">
        <v>43994</v>
      </c>
      <c r="L524">
        <v>663</v>
      </c>
      <c r="M524" t="s">
        <v>954</v>
      </c>
    </row>
    <row r="525" spans="1:13" x14ac:dyDescent="0.35">
      <c r="A525" t="s">
        <v>955</v>
      </c>
      <c r="B525" t="s">
        <v>18</v>
      </c>
      <c r="C525">
        <v>186.15</v>
      </c>
      <c r="D525">
        <v>223.5</v>
      </c>
      <c r="E525">
        <v>180</v>
      </c>
      <c r="F525">
        <v>215.7</v>
      </c>
      <c r="G525">
        <v>215</v>
      </c>
      <c r="H525">
        <v>197.3</v>
      </c>
      <c r="I525">
        <v>47776</v>
      </c>
      <c r="J525">
        <v>9538996.9000000004</v>
      </c>
      <c r="K525" s="13">
        <v>43994</v>
      </c>
      <c r="L525">
        <v>1083</v>
      </c>
      <c r="M525" t="s">
        <v>956</v>
      </c>
    </row>
    <row r="526" spans="1:13" x14ac:dyDescent="0.35">
      <c r="A526" t="s">
        <v>957</v>
      </c>
      <c r="B526" t="s">
        <v>18</v>
      </c>
      <c r="C526">
        <v>21.05</v>
      </c>
      <c r="D526">
        <v>24.4</v>
      </c>
      <c r="E526">
        <v>21.05</v>
      </c>
      <c r="F526">
        <v>23.55</v>
      </c>
      <c r="G526">
        <v>23.4</v>
      </c>
      <c r="H526">
        <v>23.15</v>
      </c>
      <c r="I526">
        <v>15550</v>
      </c>
      <c r="J526">
        <v>354468.5</v>
      </c>
      <c r="K526" s="13">
        <v>43994</v>
      </c>
      <c r="L526">
        <v>256</v>
      </c>
      <c r="M526" t="s">
        <v>958</v>
      </c>
    </row>
    <row r="527" spans="1:13" x14ac:dyDescent="0.35">
      <c r="A527" t="s">
        <v>959</v>
      </c>
      <c r="B527" t="s">
        <v>18</v>
      </c>
      <c r="C527">
        <v>28.7</v>
      </c>
      <c r="D527">
        <v>29</v>
      </c>
      <c r="E527">
        <v>26.5</v>
      </c>
      <c r="F527">
        <v>29</v>
      </c>
      <c r="G527">
        <v>29</v>
      </c>
      <c r="H527">
        <v>28.7</v>
      </c>
      <c r="I527">
        <v>4597</v>
      </c>
      <c r="J527">
        <v>125076.15</v>
      </c>
      <c r="K527" s="13">
        <v>43994</v>
      </c>
      <c r="L527">
        <v>153</v>
      </c>
      <c r="M527" t="s">
        <v>960</v>
      </c>
    </row>
    <row r="528" spans="1:13" x14ac:dyDescent="0.35">
      <c r="A528" t="s">
        <v>961</v>
      </c>
      <c r="B528" t="s">
        <v>18</v>
      </c>
      <c r="C528">
        <v>11.1</v>
      </c>
      <c r="D528">
        <v>11.1</v>
      </c>
      <c r="E528">
        <v>10.199999999999999</v>
      </c>
      <c r="F528">
        <v>10.65</v>
      </c>
      <c r="G528">
        <v>10.8</v>
      </c>
      <c r="H528">
        <v>10.7</v>
      </c>
      <c r="I528">
        <v>78990</v>
      </c>
      <c r="J528">
        <v>829871.7</v>
      </c>
      <c r="K528" s="13">
        <v>43994</v>
      </c>
      <c r="L528">
        <v>318</v>
      </c>
      <c r="M528" t="s">
        <v>962</v>
      </c>
    </row>
    <row r="529" spans="1:13" x14ac:dyDescent="0.35">
      <c r="A529" t="s">
        <v>963</v>
      </c>
      <c r="B529" t="s">
        <v>18</v>
      </c>
      <c r="C529">
        <v>1330.8</v>
      </c>
      <c r="D529">
        <v>1410</v>
      </c>
      <c r="E529">
        <v>1325</v>
      </c>
      <c r="F529">
        <v>1389.35</v>
      </c>
      <c r="G529">
        <v>1401</v>
      </c>
      <c r="H529">
        <v>1370.95</v>
      </c>
      <c r="I529">
        <v>6652</v>
      </c>
      <c r="J529">
        <v>8974831.9499999993</v>
      </c>
      <c r="K529" s="13">
        <v>43994</v>
      </c>
      <c r="L529">
        <v>918</v>
      </c>
      <c r="M529" t="s">
        <v>964</v>
      </c>
    </row>
    <row r="530" spans="1:13" x14ac:dyDescent="0.35">
      <c r="A530" t="s">
        <v>965</v>
      </c>
      <c r="B530" t="s">
        <v>18</v>
      </c>
      <c r="C530">
        <v>41.65</v>
      </c>
      <c r="D530">
        <v>45.5</v>
      </c>
      <c r="E530">
        <v>41.65</v>
      </c>
      <c r="F530">
        <v>45.25</v>
      </c>
      <c r="G530">
        <v>45.1</v>
      </c>
      <c r="H530">
        <v>45.35</v>
      </c>
      <c r="I530">
        <v>299513</v>
      </c>
      <c r="J530">
        <v>13199188.1</v>
      </c>
      <c r="K530" s="13">
        <v>43994</v>
      </c>
      <c r="L530">
        <v>2352</v>
      </c>
      <c r="M530" t="s">
        <v>966</v>
      </c>
    </row>
    <row r="531" spans="1:13" x14ac:dyDescent="0.35">
      <c r="A531" t="s">
        <v>3542</v>
      </c>
      <c r="B531" t="s">
        <v>3391</v>
      </c>
      <c r="C531">
        <v>0.3</v>
      </c>
      <c r="D531">
        <v>0.35</v>
      </c>
      <c r="E531">
        <v>0.3</v>
      </c>
      <c r="F531">
        <v>0.35</v>
      </c>
      <c r="G531">
        <v>0.35</v>
      </c>
      <c r="H531">
        <v>0.35</v>
      </c>
      <c r="I531">
        <v>59550</v>
      </c>
      <c r="J531">
        <v>20342.5</v>
      </c>
      <c r="K531" s="13">
        <v>43994</v>
      </c>
      <c r="L531">
        <v>22</v>
      </c>
      <c r="M531" t="s">
        <v>3543</v>
      </c>
    </row>
    <row r="532" spans="1:13" x14ac:dyDescent="0.35">
      <c r="A532" t="s">
        <v>3544</v>
      </c>
      <c r="B532" t="s">
        <v>3391</v>
      </c>
      <c r="C532">
        <v>19</v>
      </c>
      <c r="D532">
        <v>19.45</v>
      </c>
      <c r="E532">
        <v>17.649999999999999</v>
      </c>
      <c r="F532">
        <v>18.8</v>
      </c>
      <c r="G532">
        <v>19.25</v>
      </c>
      <c r="H532">
        <v>18.55</v>
      </c>
      <c r="I532">
        <v>1218892</v>
      </c>
      <c r="J532">
        <v>22012277.100000001</v>
      </c>
      <c r="K532" s="13">
        <v>43994</v>
      </c>
      <c r="L532">
        <v>2352</v>
      </c>
      <c r="M532" t="s">
        <v>3545</v>
      </c>
    </row>
    <row r="533" spans="1:13" x14ac:dyDescent="0.35">
      <c r="A533" t="s">
        <v>3546</v>
      </c>
      <c r="B533" t="s">
        <v>3391</v>
      </c>
      <c r="C533">
        <v>5.15</v>
      </c>
      <c r="D533">
        <v>5.15</v>
      </c>
      <c r="E533">
        <v>4.75</v>
      </c>
      <c r="F533">
        <v>4.75</v>
      </c>
      <c r="G533">
        <v>4.75</v>
      </c>
      <c r="H533">
        <v>4.95</v>
      </c>
      <c r="I533">
        <v>17251</v>
      </c>
      <c r="J533">
        <v>84961</v>
      </c>
      <c r="K533" s="13">
        <v>43994</v>
      </c>
      <c r="L533">
        <v>27</v>
      </c>
      <c r="M533" t="s">
        <v>3547</v>
      </c>
    </row>
    <row r="534" spans="1:13" x14ac:dyDescent="0.35">
      <c r="A534" t="s">
        <v>967</v>
      </c>
      <c r="B534" t="s">
        <v>18</v>
      </c>
      <c r="C534">
        <v>86</v>
      </c>
      <c r="D534">
        <v>88</v>
      </c>
      <c r="E534">
        <v>81.55</v>
      </c>
      <c r="F534">
        <v>87.45</v>
      </c>
      <c r="G534">
        <v>87.4</v>
      </c>
      <c r="H534">
        <v>89.15</v>
      </c>
      <c r="I534">
        <v>125174</v>
      </c>
      <c r="J534">
        <v>10861355.550000001</v>
      </c>
      <c r="K534" s="13">
        <v>43994</v>
      </c>
      <c r="L534">
        <v>1404</v>
      </c>
      <c r="M534" t="s">
        <v>968</v>
      </c>
    </row>
    <row r="535" spans="1:13" x14ac:dyDescent="0.35">
      <c r="A535" t="s">
        <v>969</v>
      </c>
      <c r="B535" t="s">
        <v>18</v>
      </c>
      <c r="C535">
        <v>58.3</v>
      </c>
      <c r="D535">
        <v>67.900000000000006</v>
      </c>
      <c r="E535">
        <v>58.3</v>
      </c>
      <c r="F535">
        <v>67.099999999999994</v>
      </c>
      <c r="G535">
        <v>65.650000000000006</v>
      </c>
      <c r="H535">
        <v>64.05</v>
      </c>
      <c r="I535">
        <v>20148</v>
      </c>
      <c r="J535">
        <v>1305188.2</v>
      </c>
      <c r="K535" s="13">
        <v>43994</v>
      </c>
      <c r="L535">
        <v>567</v>
      </c>
      <c r="M535" t="s">
        <v>970</v>
      </c>
    </row>
    <row r="536" spans="1:13" x14ac:dyDescent="0.35">
      <c r="A536" t="s">
        <v>971</v>
      </c>
      <c r="B536" t="s">
        <v>18</v>
      </c>
      <c r="C536">
        <v>58.1</v>
      </c>
      <c r="D536">
        <v>61.35</v>
      </c>
      <c r="E536">
        <v>58</v>
      </c>
      <c r="F536">
        <v>60.3</v>
      </c>
      <c r="G536">
        <v>61.25</v>
      </c>
      <c r="H536">
        <v>59.4</v>
      </c>
      <c r="I536">
        <v>6703</v>
      </c>
      <c r="J536">
        <v>399074.25</v>
      </c>
      <c r="K536" s="13">
        <v>43994</v>
      </c>
      <c r="L536">
        <v>97</v>
      </c>
      <c r="M536" t="s">
        <v>972</v>
      </c>
    </row>
    <row r="537" spans="1:13" x14ac:dyDescent="0.35">
      <c r="A537" t="s">
        <v>973</v>
      </c>
      <c r="B537" t="s">
        <v>18</v>
      </c>
      <c r="C537">
        <v>31.3</v>
      </c>
      <c r="D537">
        <v>35.35</v>
      </c>
      <c r="E537">
        <v>31.25</v>
      </c>
      <c r="F537">
        <v>32.450000000000003</v>
      </c>
      <c r="G537">
        <v>32</v>
      </c>
      <c r="H537">
        <v>33.200000000000003</v>
      </c>
      <c r="I537">
        <v>16124</v>
      </c>
      <c r="J537">
        <v>518024.65</v>
      </c>
      <c r="K537" s="13">
        <v>43994</v>
      </c>
      <c r="L537">
        <v>208</v>
      </c>
      <c r="M537" t="s">
        <v>974</v>
      </c>
    </row>
    <row r="538" spans="1:13" x14ac:dyDescent="0.35">
      <c r="A538" t="s">
        <v>975</v>
      </c>
      <c r="B538" t="s">
        <v>18</v>
      </c>
      <c r="C538">
        <v>4.3</v>
      </c>
      <c r="D538">
        <v>4.95</v>
      </c>
      <c r="E538">
        <v>4.3</v>
      </c>
      <c r="F538">
        <v>4.8</v>
      </c>
      <c r="G538">
        <v>4.8499999999999996</v>
      </c>
      <c r="H538">
        <v>4.75</v>
      </c>
      <c r="I538">
        <v>194395</v>
      </c>
      <c r="J538">
        <v>902362.5</v>
      </c>
      <c r="K538" s="13">
        <v>43994</v>
      </c>
      <c r="L538">
        <v>300</v>
      </c>
      <c r="M538" t="s">
        <v>976</v>
      </c>
    </row>
    <row r="539" spans="1:13" x14ac:dyDescent="0.35">
      <c r="A539" t="s">
        <v>977</v>
      </c>
      <c r="B539" t="s">
        <v>18</v>
      </c>
      <c r="C539">
        <v>18.3</v>
      </c>
      <c r="D539">
        <v>19.45</v>
      </c>
      <c r="E539">
        <v>18.25</v>
      </c>
      <c r="F539">
        <v>19.149999999999999</v>
      </c>
      <c r="G539">
        <v>19.350000000000001</v>
      </c>
      <c r="H539">
        <v>19.55</v>
      </c>
      <c r="I539">
        <v>165561</v>
      </c>
      <c r="J539">
        <v>3155750.55</v>
      </c>
      <c r="K539" s="13">
        <v>43994</v>
      </c>
      <c r="L539">
        <v>870</v>
      </c>
      <c r="M539" t="s">
        <v>978</v>
      </c>
    </row>
    <row r="540" spans="1:13" x14ac:dyDescent="0.35">
      <c r="A540" t="s">
        <v>979</v>
      </c>
      <c r="B540" t="s">
        <v>18</v>
      </c>
      <c r="C540">
        <v>22.15</v>
      </c>
      <c r="D540">
        <v>23.5</v>
      </c>
      <c r="E540">
        <v>21.85</v>
      </c>
      <c r="F540">
        <v>23.1</v>
      </c>
      <c r="G540">
        <v>23.05</v>
      </c>
      <c r="H540">
        <v>22.9</v>
      </c>
      <c r="I540">
        <v>432687</v>
      </c>
      <c r="J540">
        <v>9830705.5</v>
      </c>
      <c r="K540" s="13">
        <v>43994</v>
      </c>
      <c r="L540">
        <v>1265</v>
      </c>
      <c r="M540" t="s">
        <v>980</v>
      </c>
    </row>
    <row r="541" spans="1:13" x14ac:dyDescent="0.35">
      <c r="A541" t="s">
        <v>981</v>
      </c>
      <c r="B541" t="s">
        <v>18</v>
      </c>
      <c r="C541">
        <v>407.65</v>
      </c>
      <c r="D541">
        <v>415.95</v>
      </c>
      <c r="E541">
        <v>402.15</v>
      </c>
      <c r="F541">
        <v>412.4</v>
      </c>
      <c r="G541">
        <v>409.3</v>
      </c>
      <c r="H541">
        <v>418.25</v>
      </c>
      <c r="I541">
        <v>29801</v>
      </c>
      <c r="J541">
        <v>12228490.4</v>
      </c>
      <c r="K541" s="13">
        <v>43994</v>
      </c>
      <c r="L541">
        <v>1379</v>
      </c>
      <c r="M541" t="s">
        <v>982</v>
      </c>
    </row>
    <row r="542" spans="1:13" x14ac:dyDescent="0.35">
      <c r="A542" t="s">
        <v>983</v>
      </c>
      <c r="B542" t="s">
        <v>18</v>
      </c>
      <c r="C542">
        <v>207.2</v>
      </c>
      <c r="D542">
        <v>225.8</v>
      </c>
      <c r="E542">
        <v>205.7</v>
      </c>
      <c r="F542">
        <v>221.9</v>
      </c>
      <c r="G542">
        <v>221.2</v>
      </c>
      <c r="H542">
        <v>220.45</v>
      </c>
      <c r="I542">
        <v>195887</v>
      </c>
      <c r="J542">
        <v>42383222.850000001</v>
      </c>
      <c r="K542" s="13">
        <v>43994</v>
      </c>
      <c r="L542">
        <v>11084</v>
      </c>
      <c r="M542" t="s">
        <v>984</v>
      </c>
    </row>
    <row r="543" spans="1:13" x14ac:dyDescent="0.35">
      <c r="A543" t="s">
        <v>985</v>
      </c>
      <c r="B543" t="s">
        <v>18</v>
      </c>
      <c r="C543">
        <v>70.25</v>
      </c>
      <c r="D543">
        <v>74.400000000000006</v>
      </c>
      <c r="E543">
        <v>70.25</v>
      </c>
      <c r="F543">
        <v>73.099999999999994</v>
      </c>
      <c r="G543">
        <v>72.900000000000006</v>
      </c>
      <c r="H543">
        <v>73.900000000000006</v>
      </c>
      <c r="I543">
        <v>149486</v>
      </c>
      <c r="J543">
        <v>10633618.25</v>
      </c>
      <c r="K543" s="13">
        <v>43994</v>
      </c>
      <c r="L543">
        <v>1134</v>
      </c>
      <c r="M543" t="s">
        <v>986</v>
      </c>
    </row>
    <row r="544" spans="1:13" x14ac:dyDescent="0.35">
      <c r="A544" t="s">
        <v>987</v>
      </c>
      <c r="B544" t="s">
        <v>18</v>
      </c>
      <c r="C544">
        <v>90.2</v>
      </c>
      <c r="D544">
        <v>98</v>
      </c>
      <c r="E544">
        <v>90.2</v>
      </c>
      <c r="F544">
        <v>97.25</v>
      </c>
      <c r="G544">
        <v>98</v>
      </c>
      <c r="H544">
        <v>99.65</v>
      </c>
      <c r="I544">
        <v>80661</v>
      </c>
      <c r="J544">
        <v>7610729.7000000002</v>
      </c>
      <c r="K544" s="13">
        <v>43994</v>
      </c>
      <c r="L544">
        <v>1345</v>
      </c>
      <c r="M544" t="s">
        <v>988</v>
      </c>
    </row>
    <row r="545" spans="1:13" x14ac:dyDescent="0.35">
      <c r="A545" t="s">
        <v>3548</v>
      </c>
      <c r="B545" t="s">
        <v>3391</v>
      </c>
      <c r="C545">
        <v>2.1</v>
      </c>
      <c r="D545">
        <v>2.2000000000000002</v>
      </c>
      <c r="E545">
        <v>2.1</v>
      </c>
      <c r="F545">
        <v>2.2000000000000002</v>
      </c>
      <c r="G545">
        <v>2.2000000000000002</v>
      </c>
      <c r="H545">
        <v>2.1</v>
      </c>
      <c r="I545">
        <v>16416</v>
      </c>
      <c r="J545">
        <v>35341.550000000003</v>
      </c>
      <c r="K545" s="13">
        <v>43994</v>
      </c>
      <c r="L545">
        <v>15</v>
      </c>
      <c r="M545" t="s">
        <v>3549</v>
      </c>
    </row>
    <row r="546" spans="1:13" x14ac:dyDescent="0.35">
      <c r="A546" t="s">
        <v>989</v>
      </c>
      <c r="B546" t="s">
        <v>18</v>
      </c>
      <c r="C546">
        <v>132.1</v>
      </c>
      <c r="D546">
        <v>138.9</v>
      </c>
      <c r="E546">
        <v>128.69999999999999</v>
      </c>
      <c r="F546">
        <v>137.6</v>
      </c>
      <c r="G546">
        <v>136.80000000000001</v>
      </c>
      <c r="H546">
        <v>135.5</v>
      </c>
      <c r="I546">
        <v>273130</v>
      </c>
      <c r="J546">
        <v>36650730.549999997</v>
      </c>
      <c r="K546" s="13">
        <v>43994</v>
      </c>
      <c r="L546">
        <v>3589</v>
      </c>
      <c r="M546" t="s">
        <v>990</v>
      </c>
    </row>
    <row r="547" spans="1:13" x14ac:dyDescent="0.35">
      <c r="A547" t="s">
        <v>991</v>
      </c>
      <c r="B547" t="s">
        <v>18</v>
      </c>
      <c r="C547">
        <v>69.8</v>
      </c>
      <c r="D547">
        <v>71</v>
      </c>
      <c r="E547">
        <v>67.900000000000006</v>
      </c>
      <c r="F547">
        <v>70.25</v>
      </c>
      <c r="G547">
        <v>70.099999999999994</v>
      </c>
      <c r="H547">
        <v>71.650000000000006</v>
      </c>
      <c r="I547">
        <v>441704</v>
      </c>
      <c r="J547">
        <v>30925361.5</v>
      </c>
      <c r="K547" s="13">
        <v>43994</v>
      </c>
      <c r="L547">
        <v>3844</v>
      </c>
      <c r="M547" t="s">
        <v>992</v>
      </c>
    </row>
    <row r="548" spans="1:13" x14ac:dyDescent="0.35">
      <c r="A548" t="s">
        <v>993</v>
      </c>
      <c r="B548" t="s">
        <v>18</v>
      </c>
      <c r="C548">
        <v>143.6</v>
      </c>
      <c r="D548">
        <v>146.4</v>
      </c>
      <c r="E548">
        <v>141</v>
      </c>
      <c r="F548">
        <v>145.4</v>
      </c>
      <c r="G548">
        <v>145</v>
      </c>
      <c r="H548">
        <v>150.19999999999999</v>
      </c>
      <c r="I548">
        <v>220300</v>
      </c>
      <c r="J548">
        <v>31695285.949999999</v>
      </c>
      <c r="K548" s="13">
        <v>43994</v>
      </c>
      <c r="L548">
        <v>7183</v>
      </c>
      <c r="M548" t="s">
        <v>994</v>
      </c>
    </row>
    <row r="549" spans="1:13" x14ac:dyDescent="0.35">
      <c r="A549" t="s">
        <v>995</v>
      </c>
      <c r="B549" t="s">
        <v>18</v>
      </c>
      <c r="C549">
        <v>26.1</v>
      </c>
      <c r="D549">
        <v>29</v>
      </c>
      <c r="E549">
        <v>26.1</v>
      </c>
      <c r="F549">
        <v>28</v>
      </c>
      <c r="G549">
        <v>28</v>
      </c>
      <c r="H549">
        <v>28.7</v>
      </c>
      <c r="I549">
        <v>1344</v>
      </c>
      <c r="J549">
        <v>37225.800000000003</v>
      </c>
      <c r="K549" s="13">
        <v>43994</v>
      </c>
      <c r="L549">
        <v>9</v>
      </c>
      <c r="M549" t="s">
        <v>996</v>
      </c>
    </row>
    <row r="550" spans="1:13" x14ac:dyDescent="0.35">
      <c r="A550" t="s">
        <v>997</v>
      </c>
      <c r="B550" t="s">
        <v>18</v>
      </c>
      <c r="C550">
        <v>4899</v>
      </c>
      <c r="D550">
        <v>4965</v>
      </c>
      <c r="E550">
        <v>4825.1000000000004</v>
      </c>
      <c r="F550">
        <v>4950.1000000000004</v>
      </c>
      <c r="G550">
        <v>4935.2</v>
      </c>
      <c r="H550">
        <v>4924.05</v>
      </c>
      <c r="I550">
        <v>8171</v>
      </c>
      <c r="J550">
        <v>39929160.149999999</v>
      </c>
      <c r="K550" s="13">
        <v>43994</v>
      </c>
      <c r="L550">
        <v>1714</v>
      </c>
      <c r="M550" t="s">
        <v>998</v>
      </c>
    </row>
    <row r="551" spans="1:13" x14ac:dyDescent="0.35">
      <c r="A551" t="s">
        <v>999</v>
      </c>
      <c r="B551" t="s">
        <v>18</v>
      </c>
      <c r="C551">
        <v>8.1</v>
      </c>
      <c r="D551">
        <v>8.5</v>
      </c>
      <c r="E551">
        <v>7.75</v>
      </c>
      <c r="F551">
        <v>8.3000000000000007</v>
      </c>
      <c r="G551">
        <v>8.4499999999999993</v>
      </c>
      <c r="H551">
        <v>8.4</v>
      </c>
      <c r="I551">
        <v>38987</v>
      </c>
      <c r="J551">
        <v>322488.59999999998</v>
      </c>
      <c r="K551" s="13">
        <v>43994</v>
      </c>
      <c r="L551">
        <v>152</v>
      </c>
      <c r="M551" t="s">
        <v>1000</v>
      </c>
    </row>
    <row r="552" spans="1:13" x14ac:dyDescent="0.35">
      <c r="A552" t="s">
        <v>1001</v>
      </c>
      <c r="B552" t="s">
        <v>18</v>
      </c>
      <c r="C552">
        <v>63</v>
      </c>
      <c r="D552">
        <v>65.8</v>
      </c>
      <c r="E552">
        <v>62.15</v>
      </c>
      <c r="F552">
        <v>65.05</v>
      </c>
      <c r="G552">
        <v>65.45</v>
      </c>
      <c r="H552">
        <v>64.900000000000006</v>
      </c>
      <c r="I552">
        <v>115980</v>
      </c>
      <c r="J552">
        <v>7434248.0999999996</v>
      </c>
      <c r="K552" s="13">
        <v>43994</v>
      </c>
      <c r="L552">
        <v>1136</v>
      </c>
      <c r="M552" t="s">
        <v>1002</v>
      </c>
    </row>
    <row r="553" spans="1:13" x14ac:dyDescent="0.35">
      <c r="A553" t="s">
        <v>3315</v>
      </c>
      <c r="B553" t="s">
        <v>18</v>
      </c>
      <c r="C553">
        <v>1.75</v>
      </c>
      <c r="D553">
        <v>1.75</v>
      </c>
      <c r="E553">
        <v>1.75</v>
      </c>
      <c r="F553">
        <v>1.75</v>
      </c>
      <c r="G553">
        <v>1.75</v>
      </c>
      <c r="H553">
        <v>1.7</v>
      </c>
      <c r="I553">
        <v>251</v>
      </c>
      <c r="J553">
        <v>439.25</v>
      </c>
      <c r="K553" s="13">
        <v>43994</v>
      </c>
      <c r="L553">
        <v>1</v>
      </c>
      <c r="M553" t="s">
        <v>3316</v>
      </c>
    </row>
    <row r="554" spans="1:13" x14ac:dyDescent="0.35">
      <c r="A554" t="s">
        <v>1003</v>
      </c>
      <c r="B554" t="s">
        <v>18</v>
      </c>
      <c r="C554">
        <v>476.2</v>
      </c>
      <c r="D554">
        <v>504</v>
      </c>
      <c r="E554">
        <v>450.05</v>
      </c>
      <c r="F554">
        <v>498.55</v>
      </c>
      <c r="G554">
        <v>503</v>
      </c>
      <c r="H554">
        <v>488.8</v>
      </c>
      <c r="I554">
        <v>73</v>
      </c>
      <c r="J554">
        <v>35195.85</v>
      </c>
      <c r="K554" s="13">
        <v>43994</v>
      </c>
      <c r="L554">
        <v>19</v>
      </c>
      <c r="M554" t="s">
        <v>1004</v>
      </c>
    </row>
    <row r="555" spans="1:13" x14ac:dyDescent="0.35">
      <c r="A555" t="s">
        <v>1005</v>
      </c>
      <c r="B555" t="s">
        <v>18</v>
      </c>
      <c r="C555">
        <v>1391</v>
      </c>
      <c r="D555">
        <v>1409.95</v>
      </c>
      <c r="E555">
        <v>1377</v>
      </c>
      <c r="F555">
        <v>1394.45</v>
      </c>
      <c r="G555">
        <v>1390</v>
      </c>
      <c r="H555">
        <v>1408.6</v>
      </c>
      <c r="I555">
        <v>34995</v>
      </c>
      <c r="J555">
        <v>48837830.549999997</v>
      </c>
      <c r="K555" s="13">
        <v>43994</v>
      </c>
      <c r="L555">
        <v>4071</v>
      </c>
      <c r="M555" t="s">
        <v>1006</v>
      </c>
    </row>
    <row r="556" spans="1:13" x14ac:dyDescent="0.35">
      <c r="A556" t="s">
        <v>1007</v>
      </c>
      <c r="B556" t="s">
        <v>18</v>
      </c>
      <c r="C556">
        <v>371</v>
      </c>
      <c r="D556">
        <v>406</v>
      </c>
      <c r="E556">
        <v>371</v>
      </c>
      <c r="F556">
        <v>403.85</v>
      </c>
      <c r="G556">
        <v>404</v>
      </c>
      <c r="H556">
        <v>384.45</v>
      </c>
      <c r="I556">
        <v>5516157</v>
      </c>
      <c r="J556">
        <v>2168739679.5500002</v>
      </c>
      <c r="K556" s="13">
        <v>43994</v>
      </c>
      <c r="L556">
        <v>65197</v>
      </c>
      <c r="M556" t="s">
        <v>1008</v>
      </c>
    </row>
    <row r="557" spans="1:13" x14ac:dyDescent="0.35">
      <c r="A557" t="s">
        <v>1009</v>
      </c>
      <c r="B557" t="s">
        <v>18</v>
      </c>
      <c r="C557">
        <v>1.3</v>
      </c>
      <c r="D557">
        <v>1.35</v>
      </c>
      <c r="E557">
        <v>1.3</v>
      </c>
      <c r="F557">
        <v>1.35</v>
      </c>
      <c r="G557">
        <v>1.35</v>
      </c>
      <c r="H557">
        <v>1.3</v>
      </c>
      <c r="I557">
        <v>3092</v>
      </c>
      <c r="J557">
        <v>4139.75</v>
      </c>
      <c r="K557" s="13">
        <v>43994</v>
      </c>
      <c r="L557">
        <v>9</v>
      </c>
      <c r="M557" t="s">
        <v>1010</v>
      </c>
    </row>
    <row r="558" spans="1:13" x14ac:dyDescent="0.35">
      <c r="A558" t="s">
        <v>3550</v>
      </c>
      <c r="B558" t="s">
        <v>3381</v>
      </c>
      <c r="C558">
        <v>105.1</v>
      </c>
      <c r="D558">
        <v>112</v>
      </c>
      <c r="E558">
        <v>105.1</v>
      </c>
      <c r="F558">
        <v>112</v>
      </c>
      <c r="G558">
        <v>112</v>
      </c>
      <c r="H558">
        <v>110.55</v>
      </c>
      <c r="I558">
        <v>3000</v>
      </c>
      <c r="J558">
        <v>324100</v>
      </c>
      <c r="K558" s="13">
        <v>43994</v>
      </c>
      <c r="L558">
        <v>3</v>
      </c>
      <c r="M558" t="s">
        <v>3551</v>
      </c>
    </row>
    <row r="559" spans="1:13" x14ac:dyDescent="0.35">
      <c r="A559" t="s">
        <v>1011</v>
      </c>
      <c r="B559" t="s">
        <v>18</v>
      </c>
      <c r="C559">
        <v>44.7</v>
      </c>
      <c r="D559">
        <v>52</v>
      </c>
      <c r="E559">
        <v>44.7</v>
      </c>
      <c r="F559">
        <v>50.75</v>
      </c>
      <c r="G559">
        <v>50.4</v>
      </c>
      <c r="H559">
        <v>48</v>
      </c>
      <c r="I559">
        <v>49821</v>
      </c>
      <c r="J559">
        <v>2487597.9500000002</v>
      </c>
      <c r="K559" s="13">
        <v>43994</v>
      </c>
      <c r="L559">
        <v>700</v>
      </c>
      <c r="M559" t="s">
        <v>1012</v>
      </c>
    </row>
    <row r="560" spans="1:13" x14ac:dyDescent="0.35">
      <c r="A560" t="s">
        <v>1013</v>
      </c>
      <c r="B560" t="s">
        <v>18</v>
      </c>
      <c r="C560">
        <v>4.05</v>
      </c>
      <c r="D560">
        <v>4.05</v>
      </c>
      <c r="E560">
        <v>4.05</v>
      </c>
      <c r="F560">
        <v>4.05</v>
      </c>
      <c r="G560">
        <v>4.05</v>
      </c>
      <c r="H560">
        <v>4.05</v>
      </c>
      <c r="I560">
        <v>1074</v>
      </c>
      <c r="J560">
        <v>4349.7</v>
      </c>
      <c r="K560" s="13">
        <v>43994</v>
      </c>
      <c r="L560">
        <v>5</v>
      </c>
      <c r="M560" t="s">
        <v>1014</v>
      </c>
    </row>
    <row r="561" spans="1:13" x14ac:dyDescent="0.35">
      <c r="A561" t="s">
        <v>1015</v>
      </c>
      <c r="B561" t="s">
        <v>18</v>
      </c>
      <c r="C561">
        <v>97</v>
      </c>
      <c r="D561">
        <v>105.5</v>
      </c>
      <c r="E561">
        <v>96.6</v>
      </c>
      <c r="F561">
        <v>104.35</v>
      </c>
      <c r="G561">
        <v>104.05</v>
      </c>
      <c r="H561">
        <v>102.2</v>
      </c>
      <c r="I561">
        <v>82366</v>
      </c>
      <c r="J561">
        <v>8336799.9000000004</v>
      </c>
      <c r="K561" s="13">
        <v>43994</v>
      </c>
      <c r="L561">
        <v>1570</v>
      </c>
      <c r="M561" t="s">
        <v>1016</v>
      </c>
    </row>
    <row r="562" spans="1:13" x14ac:dyDescent="0.35">
      <c r="A562" t="s">
        <v>1017</v>
      </c>
      <c r="B562" t="s">
        <v>18</v>
      </c>
      <c r="C562">
        <v>395</v>
      </c>
      <c r="D562">
        <v>422</v>
      </c>
      <c r="E562">
        <v>387.05</v>
      </c>
      <c r="F562">
        <v>414.25</v>
      </c>
      <c r="G562">
        <v>416.65</v>
      </c>
      <c r="H562">
        <v>405.1</v>
      </c>
      <c r="I562">
        <v>66158</v>
      </c>
      <c r="J562">
        <v>26759969.75</v>
      </c>
      <c r="K562" s="13">
        <v>43994</v>
      </c>
      <c r="L562">
        <v>3281</v>
      </c>
      <c r="M562" t="s">
        <v>1018</v>
      </c>
    </row>
    <row r="563" spans="1:13" x14ac:dyDescent="0.35">
      <c r="A563" t="s">
        <v>1019</v>
      </c>
      <c r="B563" t="s">
        <v>18</v>
      </c>
      <c r="C563">
        <v>38.799999999999997</v>
      </c>
      <c r="D563">
        <v>39.85</v>
      </c>
      <c r="E563">
        <v>38.1</v>
      </c>
      <c r="F563">
        <v>39.65</v>
      </c>
      <c r="G563">
        <v>39.700000000000003</v>
      </c>
      <c r="H563">
        <v>40.1</v>
      </c>
      <c r="I563">
        <v>769898</v>
      </c>
      <c r="J563">
        <v>30086817.199999999</v>
      </c>
      <c r="K563" s="13">
        <v>43994</v>
      </c>
      <c r="L563">
        <v>3444</v>
      </c>
      <c r="M563" t="s">
        <v>1020</v>
      </c>
    </row>
    <row r="564" spans="1:13" x14ac:dyDescent="0.35">
      <c r="A564" t="s">
        <v>1021</v>
      </c>
      <c r="B564" t="s">
        <v>18</v>
      </c>
      <c r="C564">
        <v>4280</v>
      </c>
      <c r="D564">
        <v>4480</v>
      </c>
      <c r="E564">
        <v>4280</v>
      </c>
      <c r="F564">
        <v>4455.2</v>
      </c>
      <c r="G564">
        <v>4440.05</v>
      </c>
      <c r="H564">
        <v>4489.6000000000004</v>
      </c>
      <c r="I564">
        <v>29901</v>
      </c>
      <c r="J564">
        <v>131854547.95</v>
      </c>
      <c r="K564" s="13">
        <v>43994</v>
      </c>
      <c r="L564">
        <v>5537</v>
      </c>
      <c r="M564" t="s">
        <v>1022</v>
      </c>
    </row>
    <row r="565" spans="1:13" x14ac:dyDescent="0.35">
      <c r="A565" t="s">
        <v>1023</v>
      </c>
      <c r="B565" t="s">
        <v>18</v>
      </c>
      <c r="C565">
        <v>19.649999999999999</v>
      </c>
      <c r="D565">
        <v>20.75</v>
      </c>
      <c r="E565">
        <v>19.649999999999999</v>
      </c>
      <c r="F565">
        <v>20.65</v>
      </c>
      <c r="G565">
        <v>20.65</v>
      </c>
      <c r="H565">
        <v>20.75</v>
      </c>
      <c r="I565">
        <v>8612150</v>
      </c>
      <c r="J565">
        <v>175149960.34999999</v>
      </c>
      <c r="K565" s="13">
        <v>43994</v>
      </c>
      <c r="L565">
        <v>47547</v>
      </c>
      <c r="M565" t="s">
        <v>1024</v>
      </c>
    </row>
    <row r="566" spans="1:13" x14ac:dyDescent="0.35">
      <c r="A566" t="s">
        <v>1025</v>
      </c>
      <c r="B566" t="s">
        <v>18</v>
      </c>
      <c r="C566">
        <v>179.5</v>
      </c>
      <c r="D566">
        <v>185.95</v>
      </c>
      <c r="E566">
        <v>177.5</v>
      </c>
      <c r="F566">
        <v>183.1</v>
      </c>
      <c r="G566">
        <v>184</v>
      </c>
      <c r="H566">
        <v>184.05</v>
      </c>
      <c r="I566">
        <v>44519</v>
      </c>
      <c r="J566">
        <v>8057476.3499999996</v>
      </c>
      <c r="K566" s="13">
        <v>43994</v>
      </c>
      <c r="L566">
        <v>1513</v>
      </c>
      <c r="M566" t="s">
        <v>1026</v>
      </c>
    </row>
    <row r="567" spans="1:13" x14ac:dyDescent="0.35">
      <c r="A567" t="s">
        <v>1027</v>
      </c>
      <c r="B567" t="s">
        <v>18</v>
      </c>
      <c r="C567">
        <v>151.44999999999999</v>
      </c>
      <c r="D567">
        <v>153.9</v>
      </c>
      <c r="E567">
        <v>148.6</v>
      </c>
      <c r="F567">
        <v>152.5</v>
      </c>
      <c r="G567">
        <v>152.5</v>
      </c>
      <c r="H567">
        <v>155.44999999999999</v>
      </c>
      <c r="I567">
        <v>1854519</v>
      </c>
      <c r="J567">
        <v>281246983.44999999</v>
      </c>
      <c r="K567" s="13">
        <v>43994</v>
      </c>
      <c r="L567">
        <v>17489</v>
      </c>
      <c r="M567" t="s">
        <v>1028</v>
      </c>
    </row>
    <row r="568" spans="1:13" x14ac:dyDescent="0.35">
      <c r="A568" t="s">
        <v>1029</v>
      </c>
      <c r="B568" t="s">
        <v>18</v>
      </c>
      <c r="C568">
        <v>213</v>
      </c>
      <c r="D568">
        <v>229.95</v>
      </c>
      <c r="E568">
        <v>213</v>
      </c>
      <c r="F568">
        <v>227.1</v>
      </c>
      <c r="G568">
        <v>228</v>
      </c>
      <c r="H568">
        <v>232.25</v>
      </c>
      <c r="I568">
        <v>41036</v>
      </c>
      <c r="J568">
        <v>9142988.8499999996</v>
      </c>
      <c r="K568" s="13">
        <v>43994</v>
      </c>
      <c r="L568">
        <v>2218</v>
      </c>
      <c r="M568" t="s">
        <v>1030</v>
      </c>
    </row>
    <row r="569" spans="1:13" x14ac:dyDescent="0.35">
      <c r="A569" t="s">
        <v>1031</v>
      </c>
      <c r="B569" t="s">
        <v>18</v>
      </c>
      <c r="C569">
        <v>170</v>
      </c>
      <c r="D569">
        <v>174.55</v>
      </c>
      <c r="E569">
        <v>162</v>
      </c>
      <c r="F569">
        <v>170.1</v>
      </c>
      <c r="G569">
        <v>170</v>
      </c>
      <c r="H569">
        <v>174.4</v>
      </c>
      <c r="I569">
        <v>2975</v>
      </c>
      <c r="J569">
        <v>504776.95</v>
      </c>
      <c r="K569" s="13">
        <v>43994</v>
      </c>
      <c r="L569">
        <v>99</v>
      </c>
      <c r="M569" t="s">
        <v>1032</v>
      </c>
    </row>
    <row r="570" spans="1:13" x14ac:dyDescent="0.35">
      <c r="A570" t="s">
        <v>1033</v>
      </c>
      <c r="B570" t="s">
        <v>18</v>
      </c>
      <c r="C570">
        <v>960.05</v>
      </c>
      <c r="D570">
        <v>979.6</v>
      </c>
      <c r="E570">
        <v>953.2</v>
      </c>
      <c r="F570">
        <v>973.15</v>
      </c>
      <c r="G570">
        <v>969.35</v>
      </c>
      <c r="H570">
        <v>993.2</v>
      </c>
      <c r="I570">
        <v>82149</v>
      </c>
      <c r="J570">
        <v>79260087.700000003</v>
      </c>
      <c r="K570" s="13">
        <v>43994</v>
      </c>
      <c r="L570">
        <v>7461</v>
      </c>
      <c r="M570" t="s">
        <v>1034</v>
      </c>
    </row>
    <row r="571" spans="1:13" x14ac:dyDescent="0.35">
      <c r="A571" t="s">
        <v>3552</v>
      </c>
      <c r="B571" t="s">
        <v>3381</v>
      </c>
      <c r="C571">
        <v>28.1</v>
      </c>
      <c r="D571">
        <v>28.2</v>
      </c>
      <c r="E571">
        <v>28.1</v>
      </c>
      <c r="F571">
        <v>28.2</v>
      </c>
      <c r="G571">
        <v>28.2</v>
      </c>
      <c r="H571">
        <v>27</v>
      </c>
      <c r="I571">
        <v>8000</v>
      </c>
      <c r="J571">
        <v>225200</v>
      </c>
      <c r="K571" s="13">
        <v>43994</v>
      </c>
      <c r="L571">
        <v>2</v>
      </c>
      <c r="M571" t="s">
        <v>3553</v>
      </c>
    </row>
    <row r="572" spans="1:13" x14ac:dyDescent="0.35">
      <c r="A572" t="s">
        <v>1035</v>
      </c>
      <c r="B572" t="s">
        <v>18</v>
      </c>
      <c r="C572">
        <v>380</v>
      </c>
      <c r="D572">
        <v>398.8</v>
      </c>
      <c r="E572">
        <v>372</v>
      </c>
      <c r="F572">
        <v>395.6</v>
      </c>
      <c r="G572">
        <v>395.6</v>
      </c>
      <c r="H572">
        <v>388.8</v>
      </c>
      <c r="I572">
        <v>198601</v>
      </c>
      <c r="J572">
        <v>76741178.450000003</v>
      </c>
      <c r="K572" s="13">
        <v>43994</v>
      </c>
      <c r="L572">
        <v>8049</v>
      </c>
      <c r="M572" t="s">
        <v>1036</v>
      </c>
    </row>
    <row r="573" spans="1:13" x14ac:dyDescent="0.35">
      <c r="A573" t="s">
        <v>1037</v>
      </c>
      <c r="B573" t="s">
        <v>18</v>
      </c>
      <c r="C573">
        <v>600</v>
      </c>
      <c r="D573">
        <v>619</v>
      </c>
      <c r="E573">
        <v>591.25</v>
      </c>
      <c r="F573">
        <v>606.79999999999995</v>
      </c>
      <c r="G573">
        <v>606</v>
      </c>
      <c r="H573">
        <v>613.6</v>
      </c>
      <c r="I573">
        <v>2084545</v>
      </c>
      <c r="J573">
        <v>1269505757.8</v>
      </c>
      <c r="K573" s="13">
        <v>43994</v>
      </c>
      <c r="L573">
        <v>50602</v>
      </c>
      <c r="M573" t="s">
        <v>1038</v>
      </c>
    </row>
    <row r="574" spans="1:13" x14ac:dyDescent="0.35">
      <c r="A574" t="s">
        <v>1039</v>
      </c>
      <c r="B574" t="s">
        <v>18</v>
      </c>
      <c r="C574">
        <v>355</v>
      </c>
      <c r="D574">
        <v>384</v>
      </c>
      <c r="E574">
        <v>353</v>
      </c>
      <c r="F574">
        <v>377.5</v>
      </c>
      <c r="G574">
        <v>377.5</v>
      </c>
      <c r="H574">
        <v>385.4</v>
      </c>
      <c r="I574">
        <v>132246</v>
      </c>
      <c r="J574">
        <v>49203762.25</v>
      </c>
      <c r="K574" s="13">
        <v>43994</v>
      </c>
      <c r="L574">
        <v>7460</v>
      </c>
      <c r="M574" t="s">
        <v>1040</v>
      </c>
    </row>
    <row r="575" spans="1:13" x14ac:dyDescent="0.35">
      <c r="A575" t="s">
        <v>1041</v>
      </c>
      <c r="B575" t="s">
        <v>18</v>
      </c>
      <c r="C575">
        <v>782.35</v>
      </c>
      <c r="D575">
        <v>843.9</v>
      </c>
      <c r="E575">
        <v>782.35</v>
      </c>
      <c r="F575">
        <v>835.85</v>
      </c>
      <c r="G575">
        <v>835</v>
      </c>
      <c r="H575">
        <v>818.1</v>
      </c>
      <c r="I575">
        <v>349798</v>
      </c>
      <c r="J575">
        <v>285996453.80000001</v>
      </c>
      <c r="K575" s="13">
        <v>43994</v>
      </c>
      <c r="L575">
        <v>17736</v>
      </c>
      <c r="M575" t="s">
        <v>1042</v>
      </c>
    </row>
    <row r="576" spans="1:13" x14ac:dyDescent="0.35">
      <c r="A576" t="s">
        <v>3554</v>
      </c>
      <c r="B576" t="s">
        <v>3414</v>
      </c>
      <c r="C576">
        <v>1</v>
      </c>
      <c r="D576">
        <v>1</v>
      </c>
      <c r="E576">
        <v>0.9</v>
      </c>
      <c r="F576">
        <v>1</v>
      </c>
      <c r="G576">
        <v>1</v>
      </c>
      <c r="H576">
        <v>0.95</v>
      </c>
      <c r="I576">
        <v>3553364</v>
      </c>
      <c r="J576">
        <v>3347461.2</v>
      </c>
      <c r="K576" s="13">
        <v>43994</v>
      </c>
      <c r="L576">
        <v>1177</v>
      </c>
      <c r="M576" t="s">
        <v>3555</v>
      </c>
    </row>
    <row r="577" spans="1:13" x14ac:dyDescent="0.35">
      <c r="A577" t="s">
        <v>1043</v>
      </c>
      <c r="B577" t="s">
        <v>18</v>
      </c>
      <c r="C577">
        <v>34.1</v>
      </c>
      <c r="D577">
        <v>35.9</v>
      </c>
      <c r="E577">
        <v>34</v>
      </c>
      <c r="F577">
        <v>35.65</v>
      </c>
      <c r="G577">
        <v>35.9</v>
      </c>
      <c r="H577">
        <v>36.049999999999997</v>
      </c>
      <c r="I577">
        <v>124393</v>
      </c>
      <c r="J577">
        <v>4356958.45</v>
      </c>
      <c r="K577" s="13">
        <v>43994</v>
      </c>
      <c r="L577">
        <v>1330</v>
      </c>
      <c r="M577" t="s">
        <v>1044</v>
      </c>
    </row>
    <row r="578" spans="1:13" x14ac:dyDescent="0.35">
      <c r="A578" t="s">
        <v>1045</v>
      </c>
      <c r="B578" t="s">
        <v>18</v>
      </c>
      <c r="C578">
        <v>10.8</v>
      </c>
      <c r="D578">
        <v>11.25</v>
      </c>
      <c r="E578">
        <v>10.8</v>
      </c>
      <c r="F578">
        <v>11.25</v>
      </c>
      <c r="G578">
        <v>11.25</v>
      </c>
      <c r="H578">
        <v>10.25</v>
      </c>
      <c r="I578">
        <v>35453</v>
      </c>
      <c r="J578">
        <v>393858.35</v>
      </c>
      <c r="K578" s="13">
        <v>43994</v>
      </c>
      <c r="L578">
        <v>139</v>
      </c>
      <c r="M578" t="s">
        <v>1046</v>
      </c>
    </row>
    <row r="579" spans="1:13" x14ac:dyDescent="0.35">
      <c r="A579" t="s">
        <v>1047</v>
      </c>
      <c r="B579" t="s">
        <v>18</v>
      </c>
      <c r="C579">
        <v>12.7</v>
      </c>
      <c r="D579">
        <v>13.95</v>
      </c>
      <c r="E579">
        <v>11.55</v>
      </c>
      <c r="F579">
        <v>12.9</v>
      </c>
      <c r="G579">
        <v>13</v>
      </c>
      <c r="H579">
        <v>12.7</v>
      </c>
      <c r="I579">
        <v>22970</v>
      </c>
      <c r="J579">
        <v>293386.15000000002</v>
      </c>
      <c r="K579" s="13">
        <v>43994</v>
      </c>
      <c r="L579">
        <v>288</v>
      </c>
      <c r="M579" t="s">
        <v>1048</v>
      </c>
    </row>
    <row r="580" spans="1:13" x14ac:dyDescent="0.35">
      <c r="A580" t="s">
        <v>1049</v>
      </c>
      <c r="B580" t="s">
        <v>18</v>
      </c>
      <c r="C580">
        <v>41.99</v>
      </c>
      <c r="D580">
        <v>41.99</v>
      </c>
      <c r="E580">
        <v>41.51</v>
      </c>
      <c r="F580">
        <v>41.8</v>
      </c>
      <c r="G580">
        <v>41.77</v>
      </c>
      <c r="H580">
        <v>41.73</v>
      </c>
      <c r="I580">
        <v>4973194</v>
      </c>
      <c r="J580">
        <v>207626813.90000001</v>
      </c>
      <c r="K580" s="13">
        <v>43994</v>
      </c>
      <c r="L580">
        <v>9940</v>
      </c>
      <c r="M580" t="s">
        <v>1050</v>
      </c>
    </row>
    <row r="581" spans="1:13" x14ac:dyDescent="0.35">
      <c r="A581" t="s">
        <v>1051</v>
      </c>
      <c r="B581" t="s">
        <v>18</v>
      </c>
      <c r="C581">
        <v>25.5</v>
      </c>
      <c r="D581">
        <v>27.2</v>
      </c>
      <c r="E581">
        <v>25.25</v>
      </c>
      <c r="F581">
        <v>25.6</v>
      </c>
      <c r="G581">
        <v>26.1</v>
      </c>
      <c r="H581">
        <v>26.45</v>
      </c>
      <c r="I581">
        <v>4921</v>
      </c>
      <c r="J581">
        <v>126022</v>
      </c>
      <c r="K581" s="13">
        <v>43994</v>
      </c>
      <c r="L581">
        <v>95</v>
      </c>
      <c r="M581" t="s">
        <v>1052</v>
      </c>
    </row>
    <row r="582" spans="1:13" x14ac:dyDescent="0.35">
      <c r="A582" t="s">
        <v>1053</v>
      </c>
      <c r="B582" t="s">
        <v>18</v>
      </c>
      <c r="C582">
        <v>109.95</v>
      </c>
      <c r="D582">
        <v>114</v>
      </c>
      <c r="E582">
        <v>106.25</v>
      </c>
      <c r="F582">
        <v>113.5</v>
      </c>
      <c r="G582">
        <v>113</v>
      </c>
      <c r="H582">
        <v>114.3</v>
      </c>
      <c r="I582">
        <v>30762</v>
      </c>
      <c r="J582">
        <v>3449340.95</v>
      </c>
      <c r="K582" s="13">
        <v>43994</v>
      </c>
      <c r="L582">
        <v>856</v>
      </c>
      <c r="M582" t="s">
        <v>1054</v>
      </c>
    </row>
    <row r="583" spans="1:13" x14ac:dyDescent="0.35">
      <c r="A583" t="s">
        <v>1055</v>
      </c>
      <c r="B583" t="s">
        <v>18</v>
      </c>
      <c r="C583">
        <v>4250</v>
      </c>
      <c r="D583">
        <v>4600</v>
      </c>
      <c r="E583">
        <v>4138.7</v>
      </c>
      <c r="F583">
        <v>4240.05</v>
      </c>
      <c r="G583">
        <v>4235</v>
      </c>
      <c r="H583">
        <v>4234.1000000000004</v>
      </c>
      <c r="I583">
        <v>2423</v>
      </c>
      <c r="J583">
        <v>10251047.9</v>
      </c>
      <c r="K583" s="13">
        <v>43994</v>
      </c>
      <c r="L583">
        <v>483</v>
      </c>
      <c r="M583" t="s">
        <v>1056</v>
      </c>
    </row>
    <row r="584" spans="1:13" x14ac:dyDescent="0.35">
      <c r="A584" t="s">
        <v>1057</v>
      </c>
      <c r="B584" t="s">
        <v>18</v>
      </c>
      <c r="C584">
        <v>8.6999999999999993</v>
      </c>
      <c r="D584">
        <v>9</v>
      </c>
      <c r="E584">
        <v>8.5</v>
      </c>
      <c r="F584">
        <v>8.85</v>
      </c>
      <c r="G584">
        <v>8.75</v>
      </c>
      <c r="H584">
        <v>8.6</v>
      </c>
      <c r="I584">
        <v>35415</v>
      </c>
      <c r="J584">
        <v>306877.90000000002</v>
      </c>
      <c r="K584" s="13">
        <v>43994</v>
      </c>
      <c r="L584">
        <v>82</v>
      </c>
      <c r="M584" t="s">
        <v>1058</v>
      </c>
    </row>
    <row r="585" spans="1:13" x14ac:dyDescent="0.35">
      <c r="A585" t="s">
        <v>1059</v>
      </c>
      <c r="B585" t="s">
        <v>18</v>
      </c>
      <c r="C585">
        <v>36</v>
      </c>
      <c r="D585">
        <v>36.700000000000003</v>
      </c>
      <c r="E585">
        <v>33.549999999999997</v>
      </c>
      <c r="F585">
        <v>36.15</v>
      </c>
      <c r="G585">
        <v>35.799999999999997</v>
      </c>
      <c r="H585">
        <v>36.25</v>
      </c>
      <c r="I585">
        <v>43220</v>
      </c>
      <c r="J585">
        <v>1528434.2</v>
      </c>
      <c r="K585" s="13">
        <v>43994</v>
      </c>
      <c r="L585">
        <v>339</v>
      </c>
      <c r="M585" t="s">
        <v>1060</v>
      </c>
    </row>
    <row r="586" spans="1:13" x14ac:dyDescent="0.35">
      <c r="A586" t="s">
        <v>1061</v>
      </c>
      <c r="B586" t="s">
        <v>18</v>
      </c>
      <c r="C586">
        <v>127</v>
      </c>
      <c r="D586">
        <v>151.4</v>
      </c>
      <c r="E586">
        <v>127</v>
      </c>
      <c r="F586">
        <v>151.4</v>
      </c>
      <c r="G586">
        <v>151.4</v>
      </c>
      <c r="H586">
        <v>137.65</v>
      </c>
      <c r="I586">
        <v>141648</v>
      </c>
      <c r="J586">
        <v>20315538.100000001</v>
      </c>
      <c r="K586" s="13">
        <v>43994</v>
      </c>
      <c r="L586">
        <v>2287</v>
      </c>
      <c r="M586" t="s">
        <v>1062</v>
      </c>
    </row>
    <row r="587" spans="1:13" x14ac:dyDescent="0.35">
      <c r="A587" t="s">
        <v>1063</v>
      </c>
      <c r="B587" t="s">
        <v>18</v>
      </c>
      <c r="C587">
        <v>74</v>
      </c>
      <c r="D587">
        <v>76</v>
      </c>
      <c r="E587">
        <v>71.7</v>
      </c>
      <c r="F587">
        <v>75.45</v>
      </c>
      <c r="G587">
        <v>75.099999999999994</v>
      </c>
      <c r="H587">
        <v>75.099999999999994</v>
      </c>
      <c r="I587">
        <v>703148</v>
      </c>
      <c r="J587">
        <v>52080046.149999999</v>
      </c>
      <c r="K587" s="13">
        <v>43994</v>
      </c>
      <c r="L587">
        <v>7465</v>
      </c>
      <c r="M587" t="s">
        <v>1064</v>
      </c>
    </row>
    <row r="588" spans="1:13" x14ac:dyDescent="0.35">
      <c r="A588" t="s">
        <v>1065</v>
      </c>
      <c r="B588" t="s">
        <v>18</v>
      </c>
      <c r="C588">
        <v>18.5</v>
      </c>
      <c r="D588">
        <v>22.8</v>
      </c>
      <c r="E588">
        <v>18.5</v>
      </c>
      <c r="F588">
        <v>22.8</v>
      </c>
      <c r="G588">
        <v>22.8</v>
      </c>
      <c r="H588">
        <v>19</v>
      </c>
      <c r="I588">
        <v>76254</v>
      </c>
      <c r="J588">
        <v>1610782.9</v>
      </c>
      <c r="K588" s="13">
        <v>43994</v>
      </c>
      <c r="L588">
        <v>337</v>
      </c>
      <c r="M588" t="s">
        <v>1066</v>
      </c>
    </row>
    <row r="589" spans="1:13" x14ac:dyDescent="0.35">
      <c r="A589" t="s">
        <v>1067</v>
      </c>
      <c r="B589" t="s">
        <v>18</v>
      </c>
      <c r="C589">
        <v>195.1</v>
      </c>
      <c r="D589">
        <v>217.4</v>
      </c>
      <c r="E589">
        <v>195</v>
      </c>
      <c r="F589">
        <v>214.35</v>
      </c>
      <c r="G589">
        <v>215</v>
      </c>
      <c r="H589">
        <v>199.55</v>
      </c>
      <c r="I589">
        <v>11919365</v>
      </c>
      <c r="J589">
        <v>2519155503.9000001</v>
      </c>
      <c r="K589" s="13">
        <v>43994</v>
      </c>
      <c r="L589">
        <v>110623</v>
      </c>
      <c r="M589" t="s">
        <v>1068</v>
      </c>
    </row>
    <row r="590" spans="1:13" x14ac:dyDescent="0.35">
      <c r="A590" t="s">
        <v>1069</v>
      </c>
      <c r="B590" t="s">
        <v>18</v>
      </c>
      <c r="C590">
        <v>184.1</v>
      </c>
      <c r="D590">
        <v>189</v>
      </c>
      <c r="E590">
        <v>183.55</v>
      </c>
      <c r="F590">
        <v>187.95</v>
      </c>
      <c r="G590">
        <v>187.7</v>
      </c>
      <c r="H590">
        <v>193.2</v>
      </c>
      <c r="I590">
        <v>499057</v>
      </c>
      <c r="J590">
        <v>92844135.599999994</v>
      </c>
      <c r="K590" s="13">
        <v>43994</v>
      </c>
      <c r="L590">
        <v>10782</v>
      </c>
      <c r="M590" t="s">
        <v>1070</v>
      </c>
    </row>
    <row r="591" spans="1:13" x14ac:dyDescent="0.35">
      <c r="A591" t="s">
        <v>1071</v>
      </c>
      <c r="B591" t="s">
        <v>18</v>
      </c>
      <c r="C591">
        <v>568.20000000000005</v>
      </c>
      <c r="D591">
        <v>606.20000000000005</v>
      </c>
      <c r="E591">
        <v>568.20000000000005</v>
      </c>
      <c r="F591">
        <v>601.95000000000005</v>
      </c>
      <c r="G591">
        <v>602.79999999999995</v>
      </c>
      <c r="H591">
        <v>590.6</v>
      </c>
      <c r="I591">
        <v>2102241</v>
      </c>
      <c r="J591">
        <v>1246264862.55</v>
      </c>
      <c r="K591" s="13">
        <v>43994</v>
      </c>
      <c r="L591">
        <v>36932</v>
      </c>
      <c r="M591" t="s">
        <v>1072</v>
      </c>
    </row>
    <row r="592" spans="1:13" x14ac:dyDescent="0.35">
      <c r="A592" t="s">
        <v>1073</v>
      </c>
      <c r="B592" t="s">
        <v>18</v>
      </c>
      <c r="C592">
        <v>35.4</v>
      </c>
      <c r="D592">
        <v>38.049999999999997</v>
      </c>
      <c r="E592">
        <v>34.25</v>
      </c>
      <c r="F592">
        <v>37.75</v>
      </c>
      <c r="G592">
        <v>37.1</v>
      </c>
      <c r="H592">
        <v>38</v>
      </c>
      <c r="I592">
        <v>64185</v>
      </c>
      <c r="J592">
        <v>2350331.75</v>
      </c>
      <c r="K592" s="13">
        <v>43994</v>
      </c>
      <c r="L592">
        <v>594</v>
      </c>
      <c r="M592" t="s">
        <v>1074</v>
      </c>
    </row>
    <row r="593" spans="1:13" x14ac:dyDescent="0.35">
      <c r="A593" t="s">
        <v>40</v>
      </c>
      <c r="B593" t="s">
        <v>18</v>
      </c>
      <c r="C593">
        <v>75</v>
      </c>
      <c r="D593">
        <v>77.849999999999994</v>
      </c>
      <c r="E593">
        <v>74.8</v>
      </c>
      <c r="F593">
        <v>77.45</v>
      </c>
      <c r="G593">
        <v>77.2</v>
      </c>
      <c r="H593">
        <v>78.3</v>
      </c>
      <c r="I593">
        <v>291324</v>
      </c>
      <c r="J593">
        <v>22244989.399999999</v>
      </c>
      <c r="K593" s="13">
        <v>43994</v>
      </c>
      <c r="L593">
        <v>3510</v>
      </c>
      <c r="M593" t="s">
        <v>1075</v>
      </c>
    </row>
    <row r="594" spans="1:13" x14ac:dyDescent="0.35">
      <c r="A594" t="s">
        <v>1076</v>
      </c>
      <c r="B594" t="s">
        <v>18</v>
      </c>
      <c r="C594">
        <v>626.04999999999995</v>
      </c>
      <c r="D594">
        <v>682.65</v>
      </c>
      <c r="E594">
        <v>612.79999999999995</v>
      </c>
      <c r="F594">
        <v>671.95</v>
      </c>
      <c r="G594">
        <v>675</v>
      </c>
      <c r="H594">
        <v>669.95</v>
      </c>
      <c r="I594">
        <v>4137</v>
      </c>
      <c r="J594">
        <v>2687298.7</v>
      </c>
      <c r="K594" s="13">
        <v>43994</v>
      </c>
      <c r="L594">
        <v>534</v>
      </c>
      <c r="M594" t="s">
        <v>1077</v>
      </c>
    </row>
    <row r="595" spans="1:13" x14ac:dyDescent="0.35">
      <c r="A595" t="s">
        <v>1078</v>
      </c>
      <c r="B595" t="s">
        <v>18</v>
      </c>
      <c r="C595">
        <v>26.5</v>
      </c>
      <c r="D595">
        <v>28.4</v>
      </c>
      <c r="E595">
        <v>26.5</v>
      </c>
      <c r="F595">
        <v>28.3</v>
      </c>
      <c r="G595">
        <v>28.4</v>
      </c>
      <c r="H595">
        <v>27.95</v>
      </c>
      <c r="I595">
        <v>47875</v>
      </c>
      <c r="J595">
        <v>1322734.3</v>
      </c>
      <c r="K595" s="13">
        <v>43994</v>
      </c>
      <c r="L595">
        <v>268</v>
      </c>
      <c r="M595" t="s">
        <v>1079</v>
      </c>
    </row>
    <row r="596" spans="1:13" x14ac:dyDescent="0.35">
      <c r="A596" t="s">
        <v>1080</v>
      </c>
      <c r="B596" t="s">
        <v>18</v>
      </c>
      <c r="C596">
        <v>79.900000000000006</v>
      </c>
      <c r="D596">
        <v>83.95</v>
      </c>
      <c r="E596">
        <v>78.2</v>
      </c>
      <c r="F596">
        <v>83.6</v>
      </c>
      <c r="G596">
        <v>83.7</v>
      </c>
      <c r="H596">
        <v>82.9</v>
      </c>
      <c r="I596">
        <v>138224</v>
      </c>
      <c r="J596">
        <v>11261887.199999999</v>
      </c>
      <c r="K596" s="13">
        <v>43994</v>
      </c>
      <c r="L596">
        <v>4433</v>
      </c>
      <c r="M596" t="s">
        <v>1081</v>
      </c>
    </row>
    <row r="597" spans="1:13" x14ac:dyDescent="0.35">
      <c r="A597" t="s">
        <v>1082</v>
      </c>
      <c r="B597" t="s">
        <v>18</v>
      </c>
      <c r="C597">
        <v>3.15</v>
      </c>
      <c r="D597">
        <v>3.15</v>
      </c>
      <c r="E597">
        <v>3</v>
      </c>
      <c r="F597">
        <v>3.15</v>
      </c>
      <c r="G597">
        <v>3.15</v>
      </c>
      <c r="H597">
        <v>3</v>
      </c>
      <c r="I597">
        <v>5386692</v>
      </c>
      <c r="J597">
        <v>16893093.550000001</v>
      </c>
      <c r="K597" s="13">
        <v>43994</v>
      </c>
      <c r="L597">
        <v>1665</v>
      </c>
      <c r="M597" t="s">
        <v>1083</v>
      </c>
    </row>
    <row r="598" spans="1:13" x14ac:dyDescent="0.35">
      <c r="A598" t="s">
        <v>3556</v>
      </c>
      <c r="B598" t="s">
        <v>3381</v>
      </c>
      <c r="C598">
        <v>5.65</v>
      </c>
      <c r="D598">
        <v>5.65</v>
      </c>
      <c r="E598">
        <v>5.65</v>
      </c>
      <c r="F598">
        <v>5.65</v>
      </c>
      <c r="G598">
        <v>5.65</v>
      </c>
      <c r="H598">
        <v>5.4</v>
      </c>
      <c r="I598">
        <v>6000</v>
      </c>
      <c r="J598">
        <v>33900</v>
      </c>
      <c r="K598" s="13">
        <v>43994</v>
      </c>
      <c r="L598">
        <v>1</v>
      </c>
      <c r="M598" t="s">
        <v>3557</v>
      </c>
    </row>
    <row r="599" spans="1:13" x14ac:dyDescent="0.35">
      <c r="A599" t="s">
        <v>1084</v>
      </c>
      <c r="B599" t="s">
        <v>18</v>
      </c>
      <c r="C599">
        <v>503</v>
      </c>
      <c r="D599">
        <v>527.85</v>
      </c>
      <c r="E599">
        <v>502.6</v>
      </c>
      <c r="F599">
        <v>521.65</v>
      </c>
      <c r="G599">
        <v>524.95000000000005</v>
      </c>
      <c r="H599">
        <v>509.3</v>
      </c>
      <c r="I599">
        <v>17796</v>
      </c>
      <c r="J599">
        <v>9201094.3000000007</v>
      </c>
      <c r="K599" s="13">
        <v>43994</v>
      </c>
      <c r="L599">
        <v>1393</v>
      </c>
      <c r="M599" t="s">
        <v>1085</v>
      </c>
    </row>
    <row r="600" spans="1:13" x14ac:dyDescent="0.35">
      <c r="A600" t="s">
        <v>1086</v>
      </c>
      <c r="B600" t="s">
        <v>18</v>
      </c>
      <c r="C600">
        <v>367.95</v>
      </c>
      <c r="D600">
        <v>378</v>
      </c>
      <c r="E600">
        <v>364</v>
      </c>
      <c r="F600">
        <v>378</v>
      </c>
      <c r="G600">
        <v>378</v>
      </c>
      <c r="H600">
        <v>373.8</v>
      </c>
      <c r="I600">
        <v>225</v>
      </c>
      <c r="J600">
        <v>83211.5</v>
      </c>
      <c r="K600" s="13">
        <v>43994</v>
      </c>
      <c r="L600">
        <v>38</v>
      </c>
      <c r="M600" t="s">
        <v>1087</v>
      </c>
    </row>
    <row r="601" spans="1:13" x14ac:dyDescent="0.35">
      <c r="A601" t="s">
        <v>1088</v>
      </c>
      <c r="B601" t="s">
        <v>18</v>
      </c>
      <c r="C601">
        <v>590</v>
      </c>
      <c r="D601">
        <v>616</v>
      </c>
      <c r="E601">
        <v>590</v>
      </c>
      <c r="F601">
        <v>610</v>
      </c>
      <c r="G601">
        <v>616</v>
      </c>
      <c r="H601">
        <v>605.54999999999995</v>
      </c>
      <c r="I601">
        <v>133</v>
      </c>
      <c r="J601">
        <v>80070.399999999994</v>
      </c>
      <c r="K601" s="13">
        <v>43994</v>
      </c>
      <c r="L601">
        <v>21</v>
      </c>
      <c r="M601" t="s">
        <v>1089</v>
      </c>
    </row>
    <row r="602" spans="1:13" x14ac:dyDescent="0.35">
      <c r="A602" t="s">
        <v>1090</v>
      </c>
      <c r="B602" t="s">
        <v>18</v>
      </c>
      <c r="C602">
        <v>173.7</v>
      </c>
      <c r="D602">
        <v>183.95</v>
      </c>
      <c r="E602">
        <v>171</v>
      </c>
      <c r="F602">
        <v>182.35</v>
      </c>
      <c r="G602">
        <v>182.5</v>
      </c>
      <c r="H602">
        <v>181.85</v>
      </c>
      <c r="I602">
        <v>680478</v>
      </c>
      <c r="J602">
        <v>121976155.95</v>
      </c>
      <c r="K602" s="13">
        <v>43994</v>
      </c>
      <c r="L602">
        <v>13459</v>
      </c>
      <c r="M602" t="s">
        <v>1091</v>
      </c>
    </row>
    <row r="603" spans="1:13" x14ac:dyDescent="0.35">
      <c r="A603" t="s">
        <v>1092</v>
      </c>
      <c r="B603" t="s">
        <v>18</v>
      </c>
      <c r="C603">
        <v>25.6</v>
      </c>
      <c r="D603">
        <v>28.7</v>
      </c>
      <c r="E603">
        <v>25.6</v>
      </c>
      <c r="F603">
        <v>27.2</v>
      </c>
      <c r="G603">
        <v>27.1</v>
      </c>
      <c r="H603">
        <v>27.15</v>
      </c>
      <c r="I603">
        <v>337634</v>
      </c>
      <c r="J603">
        <v>9198268.5500000007</v>
      </c>
      <c r="K603" s="13">
        <v>43994</v>
      </c>
      <c r="L603">
        <v>1450</v>
      </c>
      <c r="M603" t="s">
        <v>1093</v>
      </c>
    </row>
    <row r="604" spans="1:13" x14ac:dyDescent="0.35">
      <c r="A604" t="s">
        <v>1094</v>
      </c>
      <c r="B604" t="s">
        <v>18</v>
      </c>
      <c r="C604">
        <v>52</v>
      </c>
      <c r="D604">
        <v>55.5</v>
      </c>
      <c r="E604">
        <v>50.35</v>
      </c>
      <c r="F604">
        <v>53.75</v>
      </c>
      <c r="G604">
        <v>53.5</v>
      </c>
      <c r="H604">
        <v>54.25</v>
      </c>
      <c r="I604">
        <v>2168026</v>
      </c>
      <c r="J604">
        <v>113286676.5</v>
      </c>
      <c r="K604" s="13">
        <v>43994</v>
      </c>
      <c r="L604">
        <v>10002</v>
      </c>
      <c r="M604" t="s">
        <v>1095</v>
      </c>
    </row>
    <row r="605" spans="1:13" x14ac:dyDescent="0.35">
      <c r="A605" t="s">
        <v>1096</v>
      </c>
      <c r="B605" t="s">
        <v>18</v>
      </c>
      <c r="C605">
        <v>216.7</v>
      </c>
      <c r="D605">
        <v>221.9</v>
      </c>
      <c r="E605">
        <v>211.7</v>
      </c>
      <c r="F605">
        <v>220.95</v>
      </c>
      <c r="G605">
        <v>221</v>
      </c>
      <c r="H605">
        <v>220.3</v>
      </c>
      <c r="I605">
        <v>247065</v>
      </c>
      <c r="J605">
        <v>53661660.100000001</v>
      </c>
      <c r="K605" s="13">
        <v>43994</v>
      </c>
      <c r="L605">
        <v>6311</v>
      </c>
      <c r="M605" t="s">
        <v>1097</v>
      </c>
    </row>
    <row r="606" spans="1:13" x14ac:dyDescent="0.35">
      <c r="A606" t="s">
        <v>1098</v>
      </c>
      <c r="B606" t="s">
        <v>18</v>
      </c>
      <c r="C606">
        <v>26</v>
      </c>
      <c r="D606">
        <v>26</v>
      </c>
      <c r="E606">
        <v>24.5</v>
      </c>
      <c r="F606">
        <v>25.35</v>
      </c>
      <c r="G606">
        <v>25.3</v>
      </c>
      <c r="H606">
        <v>25.6</v>
      </c>
      <c r="I606">
        <v>9701</v>
      </c>
      <c r="J606">
        <v>242153.05</v>
      </c>
      <c r="K606" s="13">
        <v>43994</v>
      </c>
      <c r="L606">
        <v>121</v>
      </c>
      <c r="M606" t="s">
        <v>1099</v>
      </c>
    </row>
    <row r="607" spans="1:13" x14ac:dyDescent="0.35">
      <c r="A607" t="s">
        <v>1100</v>
      </c>
      <c r="B607" t="s">
        <v>18</v>
      </c>
      <c r="C607">
        <v>1.55</v>
      </c>
      <c r="D607">
        <v>1.55</v>
      </c>
      <c r="E607">
        <v>1.5</v>
      </c>
      <c r="F607">
        <v>1.55</v>
      </c>
      <c r="G607">
        <v>1.55</v>
      </c>
      <c r="H607">
        <v>1.5</v>
      </c>
      <c r="I607">
        <v>129978</v>
      </c>
      <c r="J607">
        <v>201069.35</v>
      </c>
      <c r="K607" s="13">
        <v>43994</v>
      </c>
      <c r="L607">
        <v>132</v>
      </c>
      <c r="M607" t="s">
        <v>1101</v>
      </c>
    </row>
    <row r="608" spans="1:13" x14ac:dyDescent="0.35">
      <c r="A608" t="s">
        <v>1102</v>
      </c>
      <c r="B608" t="s">
        <v>18</v>
      </c>
      <c r="C608">
        <v>0.55000000000000004</v>
      </c>
      <c r="D608">
        <v>0.65</v>
      </c>
      <c r="E608">
        <v>0.55000000000000004</v>
      </c>
      <c r="F608">
        <v>0.65</v>
      </c>
      <c r="G608">
        <v>0.65</v>
      </c>
      <c r="H608">
        <v>0.6</v>
      </c>
      <c r="I608">
        <v>36449550</v>
      </c>
      <c r="J608">
        <v>21515428.350000001</v>
      </c>
      <c r="K608" s="13">
        <v>43994</v>
      </c>
      <c r="L608">
        <v>4026</v>
      </c>
      <c r="M608" t="s">
        <v>1103</v>
      </c>
    </row>
    <row r="609" spans="1:13" x14ac:dyDescent="0.35">
      <c r="A609" t="s">
        <v>1104</v>
      </c>
      <c r="B609" t="s">
        <v>18</v>
      </c>
      <c r="C609">
        <v>7.4</v>
      </c>
      <c r="D609">
        <v>7.4</v>
      </c>
      <c r="E609">
        <v>6.8</v>
      </c>
      <c r="F609">
        <v>7.1</v>
      </c>
      <c r="G609">
        <v>7.1</v>
      </c>
      <c r="H609">
        <v>7.4</v>
      </c>
      <c r="I609">
        <v>4214</v>
      </c>
      <c r="J609">
        <v>29872.15</v>
      </c>
      <c r="K609" s="13">
        <v>43994</v>
      </c>
      <c r="L609">
        <v>22</v>
      </c>
      <c r="M609" t="s">
        <v>1105</v>
      </c>
    </row>
    <row r="610" spans="1:13" x14ac:dyDescent="0.35">
      <c r="A610" t="s">
        <v>1106</v>
      </c>
      <c r="B610" t="s">
        <v>18</v>
      </c>
      <c r="C610">
        <v>6</v>
      </c>
      <c r="D610">
        <v>6.25</v>
      </c>
      <c r="E610">
        <v>5.8</v>
      </c>
      <c r="F610">
        <v>6</v>
      </c>
      <c r="G610">
        <v>6</v>
      </c>
      <c r="H610">
        <v>6</v>
      </c>
      <c r="I610">
        <v>3725</v>
      </c>
      <c r="J610">
        <v>22165.200000000001</v>
      </c>
      <c r="K610" s="13">
        <v>43994</v>
      </c>
      <c r="L610">
        <v>26</v>
      </c>
      <c r="M610" t="s">
        <v>1107</v>
      </c>
    </row>
    <row r="611" spans="1:13" x14ac:dyDescent="0.35">
      <c r="A611" t="s">
        <v>1108</v>
      </c>
      <c r="B611" t="s">
        <v>18</v>
      </c>
      <c r="C611">
        <v>54.05</v>
      </c>
      <c r="D611">
        <v>58</v>
      </c>
      <c r="E611">
        <v>53.9</v>
      </c>
      <c r="F611">
        <v>57.5</v>
      </c>
      <c r="G611">
        <v>57.35</v>
      </c>
      <c r="H611">
        <v>56.15</v>
      </c>
      <c r="I611">
        <v>65736</v>
      </c>
      <c r="J611">
        <v>3678108.35</v>
      </c>
      <c r="K611" s="13">
        <v>43994</v>
      </c>
      <c r="L611">
        <v>803</v>
      </c>
      <c r="M611" t="s">
        <v>1109</v>
      </c>
    </row>
    <row r="612" spans="1:13" x14ac:dyDescent="0.35">
      <c r="A612" t="s">
        <v>1110</v>
      </c>
      <c r="B612" t="s">
        <v>18</v>
      </c>
      <c r="C612">
        <v>63.5</v>
      </c>
      <c r="D612">
        <v>65.45</v>
      </c>
      <c r="E612">
        <v>63</v>
      </c>
      <c r="F612">
        <v>64.150000000000006</v>
      </c>
      <c r="G612">
        <v>63.2</v>
      </c>
      <c r="H612">
        <v>66.25</v>
      </c>
      <c r="I612">
        <v>76913</v>
      </c>
      <c r="J612">
        <v>4930422.5999999996</v>
      </c>
      <c r="K612" s="13">
        <v>43994</v>
      </c>
      <c r="L612">
        <v>1034</v>
      </c>
      <c r="M612" t="s">
        <v>1111</v>
      </c>
    </row>
    <row r="613" spans="1:13" x14ac:dyDescent="0.35">
      <c r="A613" t="s">
        <v>1112</v>
      </c>
      <c r="B613" t="s">
        <v>18</v>
      </c>
      <c r="C613">
        <v>310</v>
      </c>
      <c r="D613">
        <v>329</v>
      </c>
      <c r="E613">
        <v>310</v>
      </c>
      <c r="F613">
        <v>327.25</v>
      </c>
      <c r="G613">
        <v>326.60000000000002</v>
      </c>
      <c r="H613">
        <v>331.45</v>
      </c>
      <c r="I613">
        <v>62407</v>
      </c>
      <c r="J613">
        <v>20149369.399999999</v>
      </c>
      <c r="K613" s="13">
        <v>43994</v>
      </c>
      <c r="L613">
        <v>3001</v>
      </c>
      <c r="M613" t="s">
        <v>1113</v>
      </c>
    </row>
    <row r="614" spans="1:13" x14ac:dyDescent="0.35">
      <c r="A614" t="s">
        <v>1114</v>
      </c>
      <c r="B614" t="s">
        <v>18</v>
      </c>
      <c r="C614">
        <v>143.05000000000001</v>
      </c>
      <c r="D614">
        <v>186.6</v>
      </c>
      <c r="E614">
        <v>143</v>
      </c>
      <c r="F614">
        <v>177.6</v>
      </c>
      <c r="G614">
        <v>173.7</v>
      </c>
      <c r="H614">
        <v>155.5</v>
      </c>
      <c r="I614">
        <v>179579</v>
      </c>
      <c r="J614">
        <v>32178360.899999999</v>
      </c>
      <c r="K614" s="13">
        <v>43994</v>
      </c>
      <c r="L614">
        <v>5385</v>
      </c>
      <c r="M614" t="s">
        <v>1115</v>
      </c>
    </row>
    <row r="615" spans="1:13" x14ac:dyDescent="0.35">
      <c r="A615" t="s">
        <v>1116</v>
      </c>
      <c r="B615" t="s">
        <v>18</v>
      </c>
      <c r="C615">
        <v>276.2</v>
      </c>
      <c r="D615">
        <v>288.89999999999998</v>
      </c>
      <c r="E615">
        <v>270.05</v>
      </c>
      <c r="F615">
        <v>287.14999999999998</v>
      </c>
      <c r="G615">
        <v>286.39999999999998</v>
      </c>
      <c r="H615">
        <v>290.10000000000002</v>
      </c>
      <c r="I615">
        <v>660512</v>
      </c>
      <c r="J615">
        <v>186823823.34999999</v>
      </c>
      <c r="K615" s="13">
        <v>43994</v>
      </c>
      <c r="L615">
        <v>14602</v>
      </c>
      <c r="M615" t="s">
        <v>1117</v>
      </c>
    </row>
    <row r="616" spans="1:13" x14ac:dyDescent="0.35">
      <c r="A616" t="s">
        <v>1118</v>
      </c>
      <c r="B616" t="s">
        <v>18</v>
      </c>
      <c r="C616">
        <v>636</v>
      </c>
      <c r="D616">
        <v>636</v>
      </c>
      <c r="E616">
        <v>615.70000000000005</v>
      </c>
      <c r="F616">
        <v>630.9</v>
      </c>
      <c r="G616">
        <v>635</v>
      </c>
      <c r="H616">
        <v>636.29999999999995</v>
      </c>
      <c r="I616">
        <v>3568</v>
      </c>
      <c r="J616">
        <v>2236618.75</v>
      </c>
      <c r="K616" s="13">
        <v>43994</v>
      </c>
      <c r="L616">
        <v>486</v>
      </c>
      <c r="M616" t="s">
        <v>1119</v>
      </c>
    </row>
    <row r="617" spans="1:13" x14ac:dyDescent="0.35">
      <c r="A617" t="s">
        <v>1120</v>
      </c>
      <c r="B617" t="s">
        <v>18</v>
      </c>
      <c r="C617">
        <v>43.55</v>
      </c>
      <c r="D617">
        <v>44.7</v>
      </c>
      <c r="E617">
        <v>42.9</v>
      </c>
      <c r="F617">
        <v>44.35</v>
      </c>
      <c r="G617">
        <v>44.65</v>
      </c>
      <c r="H617">
        <v>44.45</v>
      </c>
      <c r="I617">
        <v>28992</v>
      </c>
      <c r="J617">
        <v>1272402.3500000001</v>
      </c>
      <c r="K617" s="13">
        <v>43994</v>
      </c>
      <c r="L617">
        <v>482</v>
      </c>
      <c r="M617" t="s">
        <v>1121</v>
      </c>
    </row>
    <row r="618" spans="1:13" x14ac:dyDescent="0.35">
      <c r="A618" t="s">
        <v>1122</v>
      </c>
      <c r="B618" t="s">
        <v>18</v>
      </c>
      <c r="C618">
        <v>34.799999999999997</v>
      </c>
      <c r="D618">
        <v>34.799999999999997</v>
      </c>
      <c r="E618">
        <v>34.200000000000003</v>
      </c>
      <c r="F618">
        <v>34.200000000000003</v>
      </c>
      <c r="G618">
        <v>34.200000000000003</v>
      </c>
      <c r="H618">
        <v>35.950000000000003</v>
      </c>
      <c r="I618">
        <v>14127</v>
      </c>
      <c r="J618">
        <v>483189</v>
      </c>
      <c r="K618" s="13">
        <v>43994</v>
      </c>
      <c r="L618">
        <v>86</v>
      </c>
      <c r="M618" t="s">
        <v>1123</v>
      </c>
    </row>
    <row r="619" spans="1:13" x14ac:dyDescent="0.35">
      <c r="A619" t="s">
        <v>1124</v>
      </c>
      <c r="B619" t="s">
        <v>18</v>
      </c>
      <c r="C619">
        <v>3.1</v>
      </c>
      <c r="D619">
        <v>3.15</v>
      </c>
      <c r="E619">
        <v>3</v>
      </c>
      <c r="F619">
        <v>3.05</v>
      </c>
      <c r="G619">
        <v>3.1</v>
      </c>
      <c r="H619">
        <v>3.15</v>
      </c>
      <c r="I619">
        <v>6877214</v>
      </c>
      <c r="J619">
        <v>20981374.949999999</v>
      </c>
      <c r="K619" s="13">
        <v>43994</v>
      </c>
      <c r="L619">
        <v>12658</v>
      </c>
      <c r="M619" t="s">
        <v>1125</v>
      </c>
    </row>
    <row r="620" spans="1:13" x14ac:dyDescent="0.35">
      <c r="A620" t="s">
        <v>1126</v>
      </c>
      <c r="B620" t="s">
        <v>18</v>
      </c>
      <c r="C620">
        <v>620</v>
      </c>
      <c r="D620">
        <v>659.95</v>
      </c>
      <c r="E620">
        <v>619</v>
      </c>
      <c r="F620">
        <v>655.5</v>
      </c>
      <c r="G620">
        <v>654.1</v>
      </c>
      <c r="H620">
        <v>662.55</v>
      </c>
      <c r="I620">
        <v>49518</v>
      </c>
      <c r="J620">
        <v>31873609</v>
      </c>
      <c r="K620" s="13">
        <v>43994</v>
      </c>
      <c r="L620">
        <v>4235</v>
      </c>
      <c r="M620" t="s">
        <v>1127</v>
      </c>
    </row>
    <row r="621" spans="1:13" x14ac:dyDescent="0.35">
      <c r="A621" t="s">
        <v>1128</v>
      </c>
      <c r="B621" t="s">
        <v>18</v>
      </c>
      <c r="C621">
        <v>355.05</v>
      </c>
      <c r="D621">
        <v>384.75</v>
      </c>
      <c r="E621">
        <v>355</v>
      </c>
      <c r="F621">
        <v>366.5</v>
      </c>
      <c r="G621">
        <v>366</v>
      </c>
      <c r="H621">
        <v>367</v>
      </c>
      <c r="I621">
        <v>4738</v>
      </c>
      <c r="J621">
        <v>1787522.55</v>
      </c>
      <c r="K621" s="13">
        <v>43994</v>
      </c>
      <c r="L621">
        <v>272</v>
      </c>
      <c r="M621" t="s">
        <v>1129</v>
      </c>
    </row>
    <row r="622" spans="1:13" x14ac:dyDescent="0.35">
      <c r="A622" t="s">
        <v>1130</v>
      </c>
      <c r="B622" t="s">
        <v>18</v>
      </c>
      <c r="C622">
        <v>66.8</v>
      </c>
      <c r="D622">
        <v>69.5</v>
      </c>
      <c r="E622">
        <v>66.400000000000006</v>
      </c>
      <c r="F622">
        <v>68.5</v>
      </c>
      <c r="G622">
        <v>68.599999999999994</v>
      </c>
      <c r="H622">
        <v>69.650000000000006</v>
      </c>
      <c r="I622">
        <v>47696</v>
      </c>
      <c r="J622">
        <v>3229689.75</v>
      </c>
      <c r="K622" s="13">
        <v>43994</v>
      </c>
      <c r="L622">
        <v>779</v>
      </c>
      <c r="M622" t="s">
        <v>1131</v>
      </c>
    </row>
    <row r="623" spans="1:13" x14ac:dyDescent="0.35">
      <c r="A623" t="s">
        <v>1132</v>
      </c>
      <c r="B623" t="s">
        <v>18</v>
      </c>
      <c r="C623">
        <v>22.6</v>
      </c>
      <c r="D623">
        <v>25.7</v>
      </c>
      <c r="E623">
        <v>22.6</v>
      </c>
      <c r="F623">
        <v>25.1</v>
      </c>
      <c r="G623">
        <v>24.95</v>
      </c>
      <c r="H623">
        <v>24.75</v>
      </c>
      <c r="I623">
        <v>2531467</v>
      </c>
      <c r="J623">
        <v>62675480.399999999</v>
      </c>
      <c r="K623" s="13">
        <v>43994</v>
      </c>
      <c r="L623">
        <v>6767</v>
      </c>
      <c r="M623" t="s">
        <v>1133</v>
      </c>
    </row>
    <row r="624" spans="1:13" x14ac:dyDescent="0.35">
      <c r="A624" t="s">
        <v>1134</v>
      </c>
      <c r="B624" t="s">
        <v>18</v>
      </c>
      <c r="C624">
        <v>573.70000000000005</v>
      </c>
      <c r="D624">
        <v>610</v>
      </c>
      <c r="E624">
        <v>573.70000000000005</v>
      </c>
      <c r="F624">
        <v>606.79999999999995</v>
      </c>
      <c r="G624">
        <v>610</v>
      </c>
      <c r="H624">
        <v>600.6</v>
      </c>
      <c r="I624">
        <v>9348</v>
      </c>
      <c r="J624">
        <v>5548600.1500000004</v>
      </c>
      <c r="K624" s="13">
        <v>43994</v>
      </c>
      <c r="L624">
        <v>730</v>
      </c>
      <c r="M624" t="s">
        <v>1135</v>
      </c>
    </row>
    <row r="625" spans="1:13" x14ac:dyDescent="0.35">
      <c r="A625" t="s">
        <v>1136</v>
      </c>
      <c r="B625" t="s">
        <v>18</v>
      </c>
      <c r="C625">
        <v>529</v>
      </c>
      <c r="D625">
        <v>554.54999999999995</v>
      </c>
      <c r="E625">
        <v>525</v>
      </c>
      <c r="F625">
        <v>551.65</v>
      </c>
      <c r="G625">
        <v>550.70000000000005</v>
      </c>
      <c r="H625">
        <v>545.20000000000005</v>
      </c>
      <c r="I625">
        <v>1948843</v>
      </c>
      <c r="J625">
        <v>1056637451</v>
      </c>
      <c r="K625" s="13">
        <v>43994</v>
      </c>
      <c r="L625">
        <v>41328</v>
      </c>
      <c r="M625" t="s">
        <v>1137</v>
      </c>
    </row>
    <row r="626" spans="1:13" x14ac:dyDescent="0.35">
      <c r="A626" t="s">
        <v>3558</v>
      </c>
      <c r="B626" t="s">
        <v>3391</v>
      </c>
      <c r="C626">
        <v>0.5</v>
      </c>
      <c r="D626">
        <v>0.55000000000000004</v>
      </c>
      <c r="E626">
        <v>0.5</v>
      </c>
      <c r="F626">
        <v>0.55000000000000004</v>
      </c>
      <c r="G626">
        <v>0.5</v>
      </c>
      <c r="H626">
        <v>0.55000000000000004</v>
      </c>
      <c r="I626">
        <v>144836</v>
      </c>
      <c r="J626">
        <v>73593.5</v>
      </c>
      <c r="K626" s="13">
        <v>43994</v>
      </c>
      <c r="L626">
        <v>35</v>
      </c>
      <c r="M626" t="s">
        <v>3559</v>
      </c>
    </row>
    <row r="627" spans="1:13" x14ac:dyDescent="0.35">
      <c r="A627" t="s">
        <v>1138</v>
      </c>
      <c r="B627" t="s">
        <v>18</v>
      </c>
      <c r="C627">
        <v>13.8</v>
      </c>
      <c r="D627">
        <v>14.85</v>
      </c>
      <c r="E627">
        <v>13.5</v>
      </c>
      <c r="F627">
        <v>14.6</v>
      </c>
      <c r="G627">
        <v>14.6</v>
      </c>
      <c r="H627">
        <v>14.55</v>
      </c>
      <c r="I627">
        <v>304711</v>
      </c>
      <c r="J627">
        <v>4340904.3499999996</v>
      </c>
      <c r="K627" s="13">
        <v>43994</v>
      </c>
      <c r="L627">
        <v>1031</v>
      </c>
      <c r="M627" t="s">
        <v>1139</v>
      </c>
    </row>
    <row r="628" spans="1:13" x14ac:dyDescent="0.35">
      <c r="A628" t="s">
        <v>1140</v>
      </c>
      <c r="B628" t="s">
        <v>18</v>
      </c>
      <c r="C628">
        <v>5.3</v>
      </c>
      <c r="D628">
        <v>5.3</v>
      </c>
      <c r="E628">
        <v>5.15</v>
      </c>
      <c r="F628">
        <v>5.15</v>
      </c>
      <c r="G628">
        <v>5.15</v>
      </c>
      <c r="H628">
        <v>5.4</v>
      </c>
      <c r="I628">
        <v>485</v>
      </c>
      <c r="J628">
        <v>2506.75</v>
      </c>
      <c r="K628" s="13">
        <v>43994</v>
      </c>
      <c r="L628">
        <v>9</v>
      </c>
      <c r="M628" t="s">
        <v>1141</v>
      </c>
    </row>
    <row r="629" spans="1:13" x14ac:dyDescent="0.35">
      <c r="A629" t="s">
        <v>1142</v>
      </c>
      <c r="B629" t="s">
        <v>18</v>
      </c>
      <c r="C629">
        <v>5.0999999999999996</v>
      </c>
      <c r="D629">
        <v>5.15</v>
      </c>
      <c r="E629">
        <v>5</v>
      </c>
      <c r="F629">
        <v>5.05</v>
      </c>
      <c r="G629">
        <v>5</v>
      </c>
      <c r="H629">
        <v>5.25</v>
      </c>
      <c r="I629">
        <v>3700635</v>
      </c>
      <c r="J629">
        <v>18635549.699999999</v>
      </c>
      <c r="K629" s="13">
        <v>43994</v>
      </c>
      <c r="L629">
        <v>3027</v>
      </c>
      <c r="M629" t="s">
        <v>1143</v>
      </c>
    </row>
    <row r="630" spans="1:13" x14ac:dyDescent="0.35">
      <c r="A630" t="s">
        <v>1144</v>
      </c>
      <c r="B630" t="s">
        <v>18</v>
      </c>
      <c r="C630">
        <v>119</v>
      </c>
      <c r="D630">
        <v>121.4</v>
      </c>
      <c r="E630">
        <v>118.95</v>
      </c>
      <c r="F630">
        <v>120.75</v>
      </c>
      <c r="G630">
        <v>120.55</v>
      </c>
      <c r="H630">
        <v>120.1</v>
      </c>
      <c r="I630">
        <v>185854</v>
      </c>
      <c r="J630">
        <v>22429291.25</v>
      </c>
      <c r="K630" s="13">
        <v>43994</v>
      </c>
      <c r="L630">
        <v>1349</v>
      </c>
      <c r="M630" t="s">
        <v>1145</v>
      </c>
    </row>
    <row r="631" spans="1:13" x14ac:dyDescent="0.35">
      <c r="A631" t="s">
        <v>1146</v>
      </c>
      <c r="B631" t="s">
        <v>18</v>
      </c>
      <c r="C631">
        <v>8.1999999999999993</v>
      </c>
      <c r="D631">
        <v>8.1999999999999993</v>
      </c>
      <c r="E631">
        <v>8.1999999999999993</v>
      </c>
      <c r="F631">
        <v>8.1999999999999993</v>
      </c>
      <c r="G631">
        <v>8.1999999999999993</v>
      </c>
      <c r="H631">
        <v>8.6</v>
      </c>
      <c r="I631">
        <v>184033</v>
      </c>
      <c r="J631">
        <v>1509070.6</v>
      </c>
      <c r="K631" s="13">
        <v>43994</v>
      </c>
      <c r="L631">
        <v>630</v>
      </c>
      <c r="M631" t="s">
        <v>1147</v>
      </c>
    </row>
    <row r="632" spans="1:13" x14ac:dyDescent="0.35">
      <c r="A632" t="s">
        <v>1148</v>
      </c>
      <c r="B632" t="s">
        <v>18</v>
      </c>
      <c r="C632">
        <v>555.20000000000005</v>
      </c>
      <c r="D632">
        <v>578.70000000000005</v>
      </c>
      <c r="E632">
        <v>555.20000000000005</v>
      </c>
      <c r="F632">
        <v>570.75</v>
      </c>
      <c r="G632">
        <v>571</v>
      </c>
      <c r="H632">
        <v>578.04999999999995</v>
      </c>
      <c r="I632">
        <v>6624056</v>
      </c>
      <c r="J632">
        <v>3762582706</v>
      </c>
      <c r="K632" s="13">
        <v>43994</v>
      </c>
      <c r="L632">
        <v>118919</v>
      </c>
      <c r="M632" t="s">
        <v>1149</v>
      </c>
    </row>
    <row r="633" spans="1:13" x14ac:dyDescent="0.35">
      <c r="A633" t="s">
        <v>1150</v>
      </c>
      <c r="B633" t="s">
        <v>18</v>
      </c>
      <c r="C633">
        <v>1710</v>
      </c>
      <c r="D633">
        <v>1809</v>
      </c>
      <c r="E633">
        <v>1710</v>
      </c>
      <c r="F633">
        <v>1792.2</v>
      </c>
      <c r="G633">
        <v>1790</v>
      </c>
      <c r="H633">
        <v>1787.45</v>
      </c>
      <c r="I633">
        <v>5936632</v>
      </c>
      <c r="J633">
        <v>10441025680.15</v>
      </c>
      <c r="K633" s="13">
        <v>43994</v>
      </c>
      <c r="L633">
        <v>233124</v>
      </c>
      <c r="M633" t="s">
        <v>1151</v>
      </c>
    </row>
    <row r="634" spans="1:13" x14ac:dyDescent="0.35">
      <c r="A634" t="s">
        <v>1152</v>
      </c>
      <c r="B634" t="s">
        <v>18</v>
      </c>
      <c r="C634">
        <v>2531</v>
      </c>
      <c r="D634">
        <v>2675</v>
      </c>
      <c r="E634">
        <v>2531</v>
      </c>
      <c r="F634">
        <v>2661.2</v>
      </c>
      <c r="G634">
        <v>2662</v>
      </c>
      <c r="H634">
        <v>2640</v>
      </c>
      <c r="I634">
        <v>264342</v>
      </c>
      <c r="J634">
        <v>695282325.60000002</v>
      </c>
      <c r="K634" s="13">
        <v>43994</v>
      </c>
      <c r="L634">
        <v>24942</v>
      </c>
      <c r="M634" t="s">
        <v>1153</v>
      </c>
    </row>
    <row r="635" spans="1:13" x14ac:dyDescent="0.35">
      <c r="A635" t="s">
        <v>41</v>
      </c>
      <c r="B635" t="s">
        <v>18</v>
      </c>
      <c r="C635">
        <v>928</v>
      </c>
      <c r="D635">
        <v>986.65</v>
      </c>
      <c r="E635">
        <v>928</v>
      </c>
      <c r="F635">
        <v>982.75</v>
      </c>
      <c r="G635">
        <v>977.1</v>
      </c>
      <c r="H635">
        <v>968.6</v>
      </c>
      <c r="I635">
        <v>21322880</v>
      </c>
      <c r="J635">
        <v>20461954341.049999</v>
      </c>
      <c r="K635" s="13">
        <v>43994</v>
      </c>
      <c r="L635">
        <v>329375</v>
      </c>
      <c r="M635" t="s">
        <v>1154</v>
      </c>
    </row>
    <row r="636" spans="1:13" x14ac:dyDescent="0.35">
      <c r="A636" t="s">
        <v>1155</v>
      </c>
      <c r="B636" t="s">
        <v>18</v>
      </c>
      <c r="C636">
        <v>488</v>
      </c>
      <c r="D636">
        <v>504.15</v>
      </c>
      <c r="E636">
        <v>486.25</v>
      </c>
      <c r="F636">
        <v>502.3</v>
      </c>
      <c r="G636">
        <v>502.5</v>
      </c>
      <c r="H636">
        <v>501.65</v>
      </c>
      <c r="I636">
        <v>8115192</v>
      </c>
      <c r="J636">
        <v>4029823225.8499999</v>
      </c>
      <c r="K636" s="13">
        <v>43994</v>
      </c>
      <c r="L636">
        <v>114873</v>
      </c>
      <c r="M636" t="s">
        <v>1156</v>
      </c>
    </row>
    <row r="637" spans="1:13" x14ac:dyDescent="0.35">
      <c r="A637" t="s">
        <v>1157</v>
      </c>
      <c r="B637" t="s">
        <v>18</v>
      </c>
      <c r="C637">
        <v>4295</v>
      </c>
      <c r="D637">
        <v>4298</v>
      </c>
      <c r="E637">
        <v>4253</v>
      </c>
      <c r="F637">
        <v>4285.2</v>
      </c>
      <c r="G637">
        <v>4287.8500000000004</v>
      </c>
      <c r="H637">
        <v>4267.1000000000004</v>
      </c>
      <c r="I637">
        <v>15342</v>
      </c>
      <c r="J637">
        <v>65674924.549999997</v>
      </c>
      <c r="K637" s="13">
        <v>43994</v>
      </c>
      <c r="L637">
        <v>1010</v>
      </c>
      <c r="M637" t="s">
        <v>1158</v>
      </c>
    </row>
    <row r="638" spans="1:13" x14ac:dyDescent="0.35">
      <c r="A638" t="s">
        <v>1159</v>
      </c>
      <c r="B638" t="s">
        <v>18</v>
      </c>
      <c r="C638">
        <v>1010</v>
      </c>
      <c r="D638">
        <v>1052.94</v>
      </c>
      <c r="E638">
        <v>1010</v>
      </c>
      <c r="F638">
        <v>1050.77</v>
      </c>
      <c r="G638">
        <v>1052.9000000000001</v>
      </c>
      <c r="H638">
        <v>1041.3699999999999</v>
      </c>
      <c r="I638">
        <v>2320</v>
      </c>
      <c r="J638">
        <v>2381931.87</v>
      </c>
      <c r="K638" s="13">
        <v>43994</v>
      </c>
      <c r="L638">
        <v>166</v>
      </c>
      <c r="M638" t="s">
        <v>1160</v>
      </c>
    </row>
    <row r="639" spans="1:13" x14ac:dyDescent="0.35">
      <c r="A639" t="s">
        <v>1161</v>
      </c>
      <c r="B639" t="s">
        <v>18</v>
      </c>
      <c r="C639">
        <v>3549.99</v>
      </c>
      <c r="D639">
        <v>3599</v>
      </c>
      <c r="E639">
        <v>3480</v>
      </c>
      <c r="F639">
        <v>3491.19</v>
      </c>
      <c r="G639">
        <v>3514</v>
      </c>
      <c r="H639">
        <v>3599.99</v>
      </c>
      <c r="I639">
        <v>790</v>
      </c>
      <c r="J639">
        <v>2760848.73</v>
      </c>
      <c r="K639" s="13">
        <v>43994</v>
      </c>
      <c r="L639">
        <v>123</v>
      </c>
      <c r="M639" t="s">
        <v>1162</v>
      </c>
    </row>
    <row r="640" spans="1:13" x14ac:dyDescent="0.35">
      <c r="A640" t="s">
        <v>3560</v>
      </c>
      <c r="B640" t="s">
        <v>3414</v>
      </c>
      <c r="C640">
        <v>1.9</v>
      </c>
      <c r="D640">
        <v>1.9</v>
      </c>
      <c r="E640">
        <v>1.85</v>
      </c>
      <c r="F640">
        <v>1.9</v>
      </c>
      <c r="G640">
        <v>1.9</v>
      </c>
      <c r="H640">
        <v>1.85</v>
      </c>
      <c r="I640">
        <v>1228595</v>
      </c>
      <c r="J640">
        <v>2332826.0499999998</v>
      </c>
      <c r="K640" s="13">
        <v>43994</v>
      </c>
      <c r="L640">
        <v>405</v>
      </c>
      <c r="M640" t="s">
        <v>3561</v>
      </c>
    </row>
    <row r="641" spans="1:13" x14ac:dyDescent="0.35">
      <c r="A641" t="s">
        <v>1163</v>
      </c>
      <c r="B641" t="s">
        <v>18</v>
      </c>
      <c r="C641">
        <v>885</v>
      </c>
      <c r="D641">
        <v>929</v>
      </c>
      <c r="E641">
        <v>885</v>
      </c>
      <c r="F641">
        <v>913.15</v>
      </c>
      <c r="G641">
        <v>912</v>
      </c>
      <c r="H641">
        <v>945.85</v>
      </c>
      <c r="I641">
        <v>209336</v>
      </c>
      <c r="J641">
        <v>190871519.34999999</v>
      </c>
      <c r="K641" s="13">
        <v>43994</v>
      </c>
      <c r="L641">
        <v>12823</v>
      </c>
      <c r="M641" t="s">
        <v>1164</v>
      </c>
    </row>
    <row r="642" spans="1:13" x14ac:dyDescent="0.35">
      <c r="A642" t="s">
        <v>1165</v>
      </c>
      <c r="B642" t="s">
        <v>18</v>
      </c>
      <c r="C642">
        <v>165</v>
      </c>
      <c r="D642">
        <v>176.5</v>
      </c>
      <c r="E642">
        <v>165</v>
      </c>
      <c r="F642">
        <v>174.1</v>
      </c>
      <c r="G642">
        <v>173</v>
      </c>
      <c r="H642">
        <v>171.1</v>
      </c>
      <c r="I642">
        <v>3004422</v>
      </c>
      <c r="J642">
        <v>514097695.10000002</v>
      </c>
      <c r="K642" s="13">
        <v>43994</v>
      </c>
      <c r="L642">
        <v>29435</v>
      </c>
      <c r="M642" t="s">
        <v>1166</v>
      </c>
    </row>
    <row r="643" spans="1:13" x14ac:dyDescent="0.35">
      <c r="A643" t="s">
        <v>3562</v>
      </c>
      <c r="B643" t="s">
        <v>3386</v>
      </c>
      <c r="C643">
        <v>7.6</v>
      </c>
      <c r="D643">
        <v>7.8</v>
      </c>
      <c r="E643">
        <v>7.6</v>
      </c>
      <c r="F643">
        <v>7.8</v>
      </c>
      <c r="G643">
        <v>7.8</v>
      </c>
      <c r="H643">
        <v>7.88</v>
      </c>
      <c r="I643">
        <v>3000</v>
      </c>
      <c r="J643">
        <v>23200</v>
      </c>
      <c r="K643" s="13">
        <v>43994</v>
      </c>
      <c r="L643">
        <v>4</v>
      </c>
      <c r="M643" t="s">
        <v>3563</v>
      </c>
    </row>
    <row r="644" spans="1:13" x14ac:dyDescent="0.35">
      <c r="A644" t="s">
        <v>1167</v>
      </c>
      <c r="B644" t="s">
        <v>18</v>
      </c>
      <c r="C644">
        <v>67.099999999999994</v>
      </c>
      <c r="D644">
        <v>69.05</v>
      </c>
      <c r="E644">
        <v>64.900000000000006</v>
      </c>
      <c r="F644">
        <v>68.05</v>
      </c>
      <c r="G644">
        <v>68</v>
      </c>
      <c r="H644">
        <v>69</v>
      </c>
      <c r="I644">
        <v>50520</v>
      </c>
      <c r="J644">
        <v>3379706</v>
      </c>
      <c r="K644" s="13">
        <v>43994</v>
      </c>
      <c r="L644">
        <v>845</v>
      </c>
      <c r="M644" t="s">
        <v>1168</v>
      </c>
    </row>
    <row r="645" spans="1:13" x14ac:dyDescent="0.35">
      <c r="A645" t="s">
        <v>1169</v>
      </c>
      <c r="B645" t="s">
        <v>18</v>
      </c>
      <c r="C645">
        <v>239.05</v>
      </c>
      <c r="D645">
        <v>257.55</v>
      </c>
      <c r="E645">
        <v>239.05</v>
      </c>
      <c r="F645">
        <v>255.95</v>
      </c>
      <c r="G645">
        <v>256.5</v>
      </c>
      <c r="H645">
        <v>259.60000000000002</v>
      </c>
      <c r="I645">
        <v>27301</v>
      </c>
      <c r="J645">
        <v>6863707.2999999998</v>
      </c>
      <c r="K645" s="13">
        <v>43994</v>
      </c>
      <c r="L645">
        <v>1492</v>
      </c>
      <c r="M645" t="s">
        <v>1170</v>
      </c>
    </row>
    <row r="646" spans="1:13" x14ac:dyDescent="0.35">
      <c r="A646" t="s">
        <v>42</v>
      </c>
      <c r="B646" t="s">
        <v>18</v>
      </c>
      <c r="C646">
        <v>2242</v>
      </c>
      <c r="D646">
        <v>2415</v>
      </c>
      <c r="E646">
        <v>2230.6999999999998</v>
      </c>
      <c r="F646">
        <v>2401.85</v>
      </c>
      <c r="G646">
        <v>2400</v>
      </c>
      <c r="H646">
        <v>2309.9499999999998</v>
      </c>
      <c r="I646">
        <v>3296739</v>
      </c>
      <c r="J646">
        <v>7620308627.8000002</v>
      </c>
      <c r="K646" s="13">
        <v>43994</v>
      </c>
      <c r="L646">
        <v>149380</v>
      </c>
      <c r="M646" t="s">
        <v>1171</v>
      </c>
    </row>
    <row r="647" spans="1:13" x14ac:dyDescent="0.35">
      <c r="A647" t="s">
        <v>1172</v>
      </c>
      <c r="B647" t="s">
        <v>18</v>
      </c>
      <c r="C647">
        <v>1155.5999999999999</v>
      </c>
      <c r="D647">
        <v>1235.3499999999999</v>
      </c>
      <c r="E647">
        <v>1155.5999999999999</v>
      </c>
      <c r="F647">
        <v>1226.45</v>
      </c>
      <c r="G647">
        <v>1217</v>
      </c>
      <c r="H647">
        <v>1201.5</v>
      </c>
      <c r="I647">
        <v>11583</v>
      </c>
      <c r="J647">
        <v>13999338.1</v>
      </c>
      <c r="K647" s="13">
        <v>43994</v>
      </c>
      <c r="L647">
        <v>1272</v>
      </c>
      <c r="M647" t="s">
        <v>1173</v>
      </c>
    </row>
    <row r="648" spans="1:13" x14ac:dyDescent="0.35">
      <c r="A648" t="s">
        <v>3564</v>
      </c>
      <c r="B648" t="s">
        <v>3391</v>
      </c>
      <c r="C648">
        <v>15.3</v>
      </c>
      <c r="D648">
        <v>15.3</v>
      </c>
      <c r="E648">
        <v>15.3</v>
      </c>
      <c r="F648">
        <v>15.3</v>
      </c>
      <c r="G648">
        <v>15.3</v>
      </c>
      <c r="H648">
        <v>14.6</v>
      </c>
      <c r="I648">
        <v>288651</v>
      </c>
      <c r="J648">
        <v>4416360.3</v>
      </c>
      <c r="K648" s="13">
        <v>43994</v>
      </c>
      <c r="L648">
        <v>119</v>
      </c>
      <c r="M648" t="s">
        <v>3565</v>
      </c>
    </row>
    <row r="649" spans="1:13" x14ac:dyDescent="0.35">
      <c r="A649" t="s">
        <v>1174</v>
      </c>
      <c r="B649" t="s">
        <v>18</v>
      </c>
      <c r="C649">
        <v>313.05</v>
      </c>
      <c r="D649">
        <v>330</v>
      </c>
      <c r="E649">
        <v>312.10000000000002</v>
      </c>
      <c r="F649">
        <v>322.89999999999998</v>
      </c>
      <c r="G649">
        <v>321.89999999999998</v>
      </c>
      <c r="H649">
        <v>320.10000000000002</v>
      </c>
      <c r="I649">
        <v>3028548</v>
      </c>
      <c r="J649">
        <v>986334347.60000002</v>
      </c>
      <c r="K649" s="13">
        <v>43994</v>
      </c>
      <c r="L649">
        <v>39060</v>
      </c>
      <c r="M649" t="s">
        <v>1175</v>
      </c>
    </row>
    <row r="650" spans="1:13" x14ac:dyDescent="0.35">
      <c r="A650" t="s">
        <v>1176</v>
      </c>
      <c r="B650" t="s">
        <v>18</v>
      </c>
      <c r="C650">
        <v>12.7</v>
      </c>
      <c r="D650">
        <v>13.35</v>
      </c>
      <c r="E650">
        <v>12.7</v>
      </c>
      <c r="F650">
        <v>12.8</v>
      </c>
      <c r="G650">
        <v>12.7</v>
      </c>
      <c r="H650">
        <v>13.35</v>
      </c>
      <c r="I650">
        <v>6075974</v>
      </c>
      <c r="J650">
        <v>77982499.599999994</v>
      </c>
      <c r="K650" s="13">
        <v>43994</v>
      </c>
      <c r="L650">
        <v>4983</v>
      </c>
      <c r="M650" t="s">
        <v>1177</v>
      </c>
    </row>
    <row r="651" spans="1:13" x14ac:dyDescent="0.35">
      <c r="A651" t="s">
        <v>1178</v>
      </c>
      <c r="B651" t="s">
        <v>18</v>
      </c>
      <c r="C651">
        <v>170.3</v>
      </c>
      <c r="D651">
        <v>186.85</v>
      </c>
      <c r="E651">
        <v>170.3</v>
      </c>
      <c r="F651">
        <v>180.95</v>
      </c>
      <c r="G651">
        <v>181.75</v>
      </c>
      <c r="H651">
        <v>184.8</v>
      </c>
      <c r="I651">
        <v>19660</v>
      </c>
      <c r="J651">
        <v>3483513.75</v>
      </c>
      <c r="K651" s="13">
        <v>43994</v>
      </c>
      <c r="L651">
        <v>1190</v>
      </c>
      <c r="M651" t="s">
        <v>1179</v>
      </c>
    </row>
    <row r="652" spans="1:13" x14ac:dyDescent="0.35">
      <c r="A652" t="s">
        <v>1180</v>
      </c>
      <c r="B652" t="s">
        <v>18</v>
      </c>
      <c r="C652">
        <v>584.95000000000005</v>
      </c>
      <c r="D652">
        <v>617.4</v>
      </c>
      <c r="E652">
        <v>570.15</v>
      </c>
      <c r="F652">
        <v>604.54999999999995</v>
      </c>
      <c r="G652">
        <v>600.65</v>
      </c>
      <c r="H652">
        <v>591.29999999999995</v>
      </c>
      <c r="I652">
        <v>9116</v>
      </c>
      <c r="J652">
        <v>5444898.75</v>
      </c>
      <c r="K652" s="13">
        <v>43994</v>
      </c>
      <c r="L652">
        <v>839</v>
      </c>
      <c r="M652" t="s">
        <v>1181</v>
      </c>
    </row>
    <row r="653" spans="1:13" x14ac:dyDescent="0.35">
      <c r="A653" t="s">
        <v>3566</v>
      </c>
      <c r="B653" t="s">
        <v>3386</v>
      </c>
      <c r="C653">
        <v>6.7</v>
      </c>
      <c r="D653">
        <v>6.7</v>
      </c>
      <c r="E653">
        <v>6.7</v>
      </c>
      <c r="F653">
        <v>6.7</v>
      </c>
      <c r="G653">
        <v>6.7</v>
      </c>
      <c r="H653">
        <v>6.7</v>
      </c>
      <c r="I653">
        <v>200</v>
      </c>
      <c r="J653">
        <v>1340</v>
      </c>
      <c r="K653" s="13">
        <v>43994</v>
      </c>
      <c r="L653">
        <v>2</v>
      </c>
      <c r="M653" t="s">
        <v>3567</v>
      </c>
    </row>
    <row r="654" spans="1:13" x14ac:dyDescent="0.35">
      <c r="A654" t="s">
        <v>1182</v>
      </c>
      <c r="B654" t="s">
        <v>18</v>
      </c>
      <c r="C654">
        <v>113</v>
      </c>
      <c r="D654">
        <v>117.55</v>
      </c>
      <c r="E654">
        <v>111</v>
      </c>
      <c r="F654">
        <v>116.4</v>
      </c>
      <c r="G654">
        <v>116.85</v>
      </c>
      <c r="H654">
        <v>118.3</v>
      </c>
      <c r="I654">
        <v>567522</v>
      </c>
      <c r="J654">
        <v>65835693.700000003</v>
      </c>
      <c r="K654" s="13">
        <v>43994</v>
      </c>
      <c r="L654">
        <v>5744</v>
      </c>
      <c r="M654" t="s">
        <v>1183</v>
      </c>
    </row>
    <row r="655" spans="1:13" x14ac:dyDescent="0.35">
      <c r="A655" t="s">
        <v>1184</v>
      </c>
      <c r="B655" t="s">
        <v>18</v>
      </c>
      <c r="C655">
        <v>970.05</v>
      </c>
      <c r="D655">
        <v>1050</v>
      </c>
      <c r="E655">
        <v>953.8</v>
      </c>
      <c r="F655">
        <v>1030.0999999999999</v>
      </c>
      <c r="G655">
        <v>1042</v>
      </c>
      <c r="H655">
        <v>993.2</v>
      </c>
      <c r="I655">
        <v>40990</v>
      </c>
      <c r="J655">
        <v>41050578.600000001</v>
      </c>
      <c r="K655" s="13">
        <v>43994</v>
      </c>
      <c r="L655">
        <v>3203</v>
      </c>
      <c r="M655" t="s">
        <v>1185</v>
      </c>
    </row>
    <row r="656" spans="1:13" x14ac:dyDescent="0.35">
      <c r="A656" t="s">
        <v>1186</v>
      </c>
      <c r="B656" t="s">
        <v>18</v>
      </c>
      <c r="C656">
        <v>9.0500000000000007</v>
      </c>
      <c r="D656">
        <v>9.5500000000000007</v>
      </c>
      <c r="E656">
        <v>8.75</v>
      </c>
      <c r="F656">
        <v>9.4</v>
      </c>
      <c r="G656">
        <v>9.5500000000000007</v>
      </c>
      <c r="H656">
        <v>9.1999999999999993</v>
      </c>
      <c r="I656">
        <v>6829</v>
      </c>
      <c r="J656">
        <v>62667.1</v>
      </c>
      <c r="K656" s="13">
        <v>43994</v>
      </c>
      <c r="L656">
        <v>46</v>
      </c>
      <c r="M656" t="s">
        <v>1187</v>
      </c>
    </row>
    <row r="657" spans="1:13" x14ac:dyDescent="0.35">
      <c r="A657" t="s">
        <v>1188</v>
      </c>
      <c r="B657" t="s">
        <v>18</v>
      </c>
      <c r="C657">
        <v>53.6</v>
      </c>
      <c r="D657">
        <v>65.150000000000006</v>
      </c>
      <c r="E657">
        <v>53.6</v>
      </c>
      <c r="F657">
        <v>65.150000000000006</v>
      </c>
      <c r="G657">
        <v>65.150000000000006</v>
      </c>
      <c r="H657">
        <v>59.25</v>
      </c>
      <c r="I657">
        <v>907069</v>
      </c>
      <c r="J657">
        <v>56751907.149999999</v>
      </c>
      <c r="K657" s="13">
        <v>43994</v>
      </c>
      <c r="L657">
        <v>5211</v>
      </c>
      <c r="M657" t="s">
        <v>1189</v>
      </c>
    </row>
    <row r="658" spans="1:13" x14ac:dyDescent="0.35">
      <c r="A658" t="s">
        <v>1190</v>
      </c>
      <c r="B658" t="s">
        <v>18</v>
      </c>
      <c r="C658">
        <v>138</v>
      </c>
      <c r="D658">
        <v>146.85</v>
      </c>
      <c r="E658">
        <v>136.19999999999999</v>
      </c>
      <c r="F658">
        <v>146.05000000000001</v>
      </c>
      <c r="G658">
        <v>145.9</v>
      </c>
      <c r="H658">
        <v>144.4</v>
      </c>
      <c r="I658">
        <v>15804922</v>
      </c>
      <c r="J658">
        <v>2262845156.4499998</v>
      </c>
      <c r="K658" s="13">
        <v>43994</v>
      </c>
      <c r="L658">
        <v>76623</v>
      </c>
      <c r="M658" t="s">
        <v>1191</v>
      </c>
    </row>
    <row r="659" spans="1:13" x14ac:dyDescent="0.35">
      <c r="A659" t="s">
        <v>1192</v>
      </c>
      <c r="B659" t="s">
        <v>18</v>
      </c>
      <c r="C659">
        <v>148.1</v>
      </c>
      <c r="D659">
        <v>164</v>
      </c>
      <c r="E659">
        <v>145</v>
      </c>
      <c r="F659">
        <v>160.65</v>
      </c>
      <c r="G659">
        <v>163.69999999999999</v>
      </c>
      <c r="H659">
        <v>150.25</v>
      </c>
      <c r="I659">
        <v>33624</v>
      </c>
      <c r="J659">
        <v>5257090.6500000004</v>
      </c>
      <c r="K659" s="13">
        <v>43994</v>
      </c>
      <c r="L659">
        <v>1213</v>
      </c>
      <c r="M659" t="s">
        <v>1193</v>
      </c>
    </row>
    <row r="660" spans="1:13" x14ac:dyDescent="0.35">
      <c r="A660" t="s">
        <v>1194</v>
      </c>
      <c r="B660" t="s">
        <v>18</v>
      </c>
      <c r="C660">
        <v>28.2</v>
      </c>
      <c r="D660">
        <v>29.8</v>
      </c>
      <c r="E660">
        <v>28</v>
      </c>
      <c r="F660">
        <v>29.6</v>
      </c>
      <c r="G660">
        <v>29.65</v>
      </c>
      <c r="H660">
        <v>29.85</v>
      </c>
      <c r="I660">
        <v>682282</v>
      </c>
      <c r="J660">
        <v>19853759.649999999</v>
      </c>
      <c r="K660" s="13">
        <v>43994</v>
      </c>
      <c r="L660">
        <v>2995</v>
      </c>
      <c r="M660" t="s">
        <v>1195</v>
      </c>
    </row>
    <row r="661" spans="1:13" x14ac:dyDescent="0.35">
      <c r="A661" t="s">
        <v>1196</v>
      </c>
      <c r="B661" t="s">
        <v>18</v>
      </c>
      <c r="C661">
        <v>6.5</v>
      </c>
      <c r="D661">
        <v>6.5</v>
      </c>
      <c r="E661">
        <v>6.5</v>
      </c>
      <c r="F661">
        <v>6.5</v>
      </c>
      <c r="G661">
        <v>6.5</v>
      </c>
      <c r="H661">
        <v>6.8</v>
      </c>
      <c r="I661">
        <v>104040</v>
      </c>
      <c r="J661">
        <v>676260</v>
      </c>
      <c r="K661" s="13">
        <v>43994</v>
      </c>
      <c r="L661">
        <v>285</v>
      </c>
      <c r="M661" t="s">
        <v>1197</v>
      </c>
    </row>
    <row r="662" spans="1:13" x14ac:dyDescent="0.35">
      <c r="A662" t="s">
        <v>1198</v>
      </c>
      <c r="B662" t="s">
        <v>18</v>
      </c>
      <c r="C662">
        <v>38.9</v>
      </c>
      <c r="D662">
        <v>39.950000000000003</v>
      </c>
      <c r="E662">
        <v>35.35</v>
      </c>
      <c r="F662">
        <v>37.799999999999997</v>
      </c>
      <c r="G662">
        <v>37.299999999999997</v>
      </c>
      <c r="H662">
        <v>38.9</v>
      </c>
      <c r="I662">
        <v>4599</v>
      </c>
      <c r="J662">
        <v>172610.7</v>
      </c>
      <c r="K662" s="13">
        <v>43994</v>
      </c>
      <c r="L662">
        <v>127</v>
      </c>
      <c r="M662" t="s">
        <v>1199</v>
      </c>
    </row>
    <row r="663" spans="1:13" x14ac:dyDescent="0.35">
      <c r="A663" t="s">
        <v>1200</v>
      </c>
      <c r="B663" t="s">
        <v>18</v>
      </c>
      <c r="C663">
        <v>62.45</v>
      </c>
      <c r="D663">
        <v>65.25</v>
      </c>
      <c r="E663">
        <v>62.45</v>
      </c>
      <c r="F663">
        <v>63.05</v>
      </c>
      <c r="G663">
        <v>63.45</v>
      </c>
      <c r="H663">
        <v>65.7</v>
      </c>
      <c r="I663">
        <v>503010</v>
      </c>
      <c r="J663">
        <v>31856981.25</v>
      </c>
      <c r="K663" s="13">
        <v>43994</v>
      </c>
      <c r="L663">
        <v>3950</v>
      </c>
      <c r="M663" t="s">
        <v>1201</v>
      </c>
    </row>
    <row r="664" spans="1:13" x14ac:dyDescent="0.35">
      <c r="A664" t="s">
        <v>1202</v>
      </c>
      <c r="B664" t="s">
        <v>18</v>
      </c>
      <c r="C664">
        <v>200.1</v>
      </c>
      <c r="D664">
        <v>213.7</v>
      </c>
      <c r="E664">
        <v>199.55</v>
      </c>
      <c r="F664">
        <v>210.85</v>
      </c>
      <c r="G664">
        <v>212</v>
      </c>
      <c r="H664">
        <v>205.25</v>
      </c>
      <c r="I664">
        <v>10228514</v>
      </c>
      <c r="J664">
        <v>2134194350.4000001</v>
      </c>
      <c r="K664" s="13">
        <v>43994</v>
      </c>
      <c r="L664">
        <v>72020</v>
      </c>
      <c r="M664" t="s">
        <v>1203</v>
      </c>
    </row>
    <row r="665" spans="1:13" x14ac:dyDescent="0.35">
      <c r="A665" t="s">
        <v>43</v>
      </c>
      <c r="B665" t="s">
        <v>18</v>
      </c>
      <c r="C665">
        <v>2065.25</v>
      </c>
      <c r="D665">
        <v>2119</v>
      </c>
      <c r="E665">
        <v>2065</v>
      </c>
      <c r="F665">
        <v>2107.25</v>
      </c>
      <c r="G665">
        <v>2106</v>
      </c>
      <c r="H665">
        <v>2106.9</v>
      </c>
      <c r="I665">
        <v>2338562</v>
      </c>
      <c r="J665">
        <v>4913816130.8000002</v>
      </c>
      <c r="K665" s="13">
        <v>43994</v>
      </c>
      <c r="L665">
        <v>113191</v>
      </c>
      <c r="M665" t="s">
        <v>1204</v>
      </c>
    </row>
    <row r="666" spans="1:13" x14ac:dyDescent="0.35">
      <c r="A666" t="s">
        <v>44</v>
      </c>
      <c r="B666" t="s">
        <v>18</v>
      </c>
      <c r="C666">
        <v>168</v>
      </c>
      <c r="D666">
        <v>176</v>
      </c>
      <c r="E666">
        <v>166.85</v>
      </c>
      <c r="F666">
        <v>174.65</v>
      </c>
      <c r="G666">
        <v>174</v>
      </c>
      <c r="H666">
        <v>172.65</v>
      </c>
      <c r="I666">
        <v>1200463</v>
      </c>
      <c r="J666">
        <v>206664241.75</v>
      </c>
      <c r="K666" s="13">
        <v>43994</v>
      </c>
      <c r="L666">
        <v>10591</v>
      </c>
      <c r="M666" t="s">
        <v>1205</v>
      </c>
    </row>
    <row r="667" spans="1:13" x14ac:dyDescent="0.35">
      <c r="A667" t="s">
        <v>1206</v>
      </c>
      <c r="B667" t="s">
        <v>18</v>
      </c>
      <c r="C667">
        <v>117.5</v>
      </c>
      <c r="D667">
        <v>123.9</v>
      </c>
      <c r="E667">
        <v>117</v>
      </c>
      <c r="F667">
        <v>121.2</v>
      </c>
      <c r="G667">
        <v>122.7</v>
      </c>
      <c r="H667">
        <v>123.15</v>
      </c>
      <c r="I667">
        <v>13182</v>
      </c>
      <c r="J667">
        <v>1564915.7</v>
      </c>
      <c r="K667" s="13">
        <v>43994</v>
      </c>
      <c r="L667">
        <v>397</v>
      </c>
      <c r="M667" t="s">
        <v>1207</v>
      </c>
    </row>
    <row r="668" spans="1:13" x14ac:dyDescent="0.35">
      <c r="A668" t="s">
        <v>1208</v>
      </c>
      <c r="B668" t="s">
        <v>18</v>
      </c>
      <c r="C668">
        <v>59.05</v>
      </c>
      <c r="D668">
        <v>69.05</v>
      </c>
      <c r="E668">
        <v>56.15</v>
      </c>
      <c r="F668">
        <v>67.599999999999994</v>
      </c>
      <c r="G668">
        <v>68.5</v>
      </c>
      <c r="H668">
        <v>60.3</v>
      </c>
      <c r="I668">
        <v>44900</v>
      </c>
      <c r="J668">
        <v>2903338.8</v>
      </c>
      <c r="K668" s="13">
        <v>43994</v>
      </c>
      <c r="L668">
        <v>550</v>
      </c>
      <c r="M668" t="s">
        <v>1209</v>
      </c>
    </row>
    <row r="669" spans="1:13" x14ac:dyDescent="0.35">
      <c r="A669" t="s">
        <v>1210</v>
      </c>
      <c r="B669" t="s">
        <v>18</v>
      </c>
      <c r="C669">
        <v>82</v>
      </c>
      <c r="D669">
        <v>86.5</v>
      </c>
      <c r="E669">
        <v>76.55</v>
      </c>
      <c r="F669">
        <v>85.6</v>
      </c>
      <c r="G669">
        <v>85.6</v>
      </c>
      <c r="H669">
        <v>80.099999999999994</v>
      </c>
      <c r="I669">
        <v>30501</v>
      </c>
      <c r="J669">
        <v>2552600.7999999998</v>
      </c>
      <c r="K669" s="13">
        <v>43994</v>
      </c>
      <c r="L669">
        <v>404</v>
      </c>
      <c r="M669" t="s">
        <v>1211</v>
      </c>
    </row>
    <row r="670" spans="1:13" x14ac:dyDescent="0.35">
      <c r="A670" t="s">
        <v>1212</v>
      </c>
      <c r="B670" t="s">
        <v>18</v>
      </c>
      <c r="C670">
        <v>79</v>
      </c>
      <c r="D670">
        <v>79</v>
      </c>
      <c r="E670">
        <v>71.05</v>
      </c>
      <c r="F670">
        <v>75.349999999999994</v>
      </c>
      <c r="G670">
        <v>75.8</v>
      </c>
      <c r="H670">
        <v>70.400000000000006</v>
      </c>
      <c r="I670">
        <v>6725</v>
      </c>
      <c r="J670">
        <v>509120.15</v>
      </c>
      <c r="K670" s="13">
        <v>43994</v>
      </c>
      <c r="L670">
        <v>165</v>
      </c>
      <c r="M670" t="s">
        <v>1213</v>
      </c>
    </row>
    <row r="671" spans="1:13" x14ac:dyDescent="0.35">
      <c r="A671" t="s">
        <v>1214</v>
      </c>
      <c r="B671" t="s">
        <v>18</v>
      </c>
      <c r="C671">
        <v>101</v>
      </c>
      <c r="D671">
        <v>106.8</v>
      </c>
      <c r="E671">
        <v>100.5</v>
      </c>
      <c r="F671">
        <v>103.7</v>
      </c>
      <c r="G671">
        <v>104.7</v>
      </c>
      <c r="H671">
        <v>105.4</v>
      </c>
      <c r="I671">
        <v>2998</v>
      </c>
      <c r="J671">
        <v>305657.8</v>
      </c>
      <c r="K671" s="13">
        <v>43994</v>
      </c>
      <c r="L671">
        <v>120</v>
      </c>
      <c r="M671" t="s">
        <v>1215</v>
      </c>
    </row>
    <row r="672" spans="1:13" x14ac:dyDescent="0.35">
      <c r="A672" t="s">
        <v>1216</v>
      </c>
      <c r="B672" t="s">
        <v>18</v>
      </c>
      <c r="C672">
        <v>5.05</v>
      </c>
      <c r="D672">
        <v>5.05</v>
      </c>
      <c r="E672">
        <v>4.75</v>
      </c>
      <c r="F672">
        <v>4.8499999999999996</v>
      </c>
      <c r="G672">
        <v>4.8499999999999996</v>
      </c>
      <c r="H672">
        <v>5.05</v>
      </c>
      <c r="I672">
        <v>346859</v>
      </c>
      <c r="J672">
        <v>1672527.95</v>
      </c>
      <c r="K672" s="13">
        <v>43994</v>
      </c>
      <c r="L672">
        <v>444</v>
      </c>
      <c r="M672" t="s">
        <v>1217</v>
      </c>
    </row>
    <row r="673" spans="1:13" x14ac:dyDescent="0.35">
      <c r="A673" t="s">
        <v>3568</v>
      </c>
      <c r="B673" t="s">
        <v>3414</v>
      </c>
      <c r="C673">
        <v>15.95</v>
      </c>
      <c r="D673">
        <v>15.95</v>
      </c>
      <c r="E673">
        <v>14.8</v>
      </c>
      <c r="F673">
        <v>14.95</v>
      </c>
      <c r="G673">
        <v>15.4</v>
      </c>
      <c r="H673">
        <v>15.55</v>
      </c>
      <c r="I673">
        <v>17568</v>
      </c>
      <c r="J673">
        <v>266242.84999999998</v>
      </c>
      <c r="K673" s="13">
        <v>43994</v>
      </c>
      <c r="L673">
        <v>114</v>
      </c>
      <c r="M673" t="s">
        <v>3569</v>
      </c>
    </row>
    <row r="674" spans="1:13" x14ac:dyDescent="0.35">
      <c r="A674" t="s">
        <v>1218</v>
      </c>
      <c r="B674" t="s">
        <v>18</v>
      </c>
      <c r="C674">
        <v>41.8</v>
      </c>
      <c r="D674">
        <v>42</v>
      </c>
      <c r="E674">
        <v>40.299999999999997</v>
      </c>
      <c r="F674">
        <v>40.9</v>
      </c>
      <c r="G674">
        <v>40.9</v>
      </c>
      <c r="H674">
        <v>42.35</v>
      </c>
      <c r="I674">
        <v>100947</v>
      </c>
      <c r="J674">
        <v>4147458.85</v>
      </c>
      <c r="K674" s="13">
        <v>43994</v>
      </c>
      <c r="L674">
        <v>508</v>
      </c>
      <c r="M674" t="s">
        <v>1219</v>
      </c>
    </row>
    <row r="675" spans="1:13" x14ac:dyDescent="0.35">
      <c r="A675" t="s">
        <v>1220</v>
      </c>
      <c r="B675" t="s">
        <v>18</v>
      </c>
      <c r="C675">
        <v>499.95</v>
      </c>
      <c r="D675">
        <v>511.95</v>
      </c>
      <c r="E675">
        <v>481.65</v>
      </c>
      <c r="F675">
        <v>510.1</v>
      </c>
      <c r="G675">
        <v>509.45</v>
      </c>
      <c r="H675">
        <v>509.25</v>
      </c>
      <c r="I675">
        <v>2747</v>
      </c>
      <c r="J675">
        <v>1373545.25</v>
      </c>
      <c r="K675" s="13">
        <v>43994</v>
      </c>
      <c r="L675">
        <v>273</v>
      </c>
      <c r="M675" t="s">
        <v>1221</v>
      </c>
    </row>
    <row r="676" spans="1:13" x14ac:dyDescent="0.35">
      <c r="A676" t="s">
        <v>1222</v>
      </c>
      <c r="B676" t="s">
        <v>18</v>
      </c>
      <c r="C676">
        <v>347.7</v>
      </c>
      <c r="D676">
        <v>372</v>
      </c>
      <c r="E676">
        <v>347.7</v>
      </c>
      <c r="F676">
        <v>359.29</v>
      </c>
      <c r="G676">
        <v>359.95</v>
      </c>
      <c r="H676">
        <v>355.25</v>
      </c>
      <c r="I676">
        <v>273</v>
      </c>
      <c r="J676">
        <v>98504.26</v>
      </c>
      <c r="K676" s="13">
        <v>43994</v>
      </c>
      <c r="L676">
        <v>23</v>
      </c>
      <c r="M676" t="s">
        <v>1223</v>
      </c>
    </row>
    <row r="677" spans="1:13" x14ac:dyDescent="0.35">
      <c r="A677" t="s">
        <v>1224</v>
      </c>
      <c r="B677" t="s">
        <v>18</v>
      </c>
      <c r="C677">
        <v>26925</v>
      </c>
      <c r="D677">
        <v>27555</v>
      </c>
      <c r="E677">
        <v>26066</v>
      </c>
      <c r="F677">
        <v>27338.7</v>
      </c>
      <c r="G677">
        <v>26928.2</v>
      </c>
      <c r="H677">
        <v>27644.45</v>
      </c>
      <c r="I677">
        <v>19451</v>
      </c>
      <c r="J677">
        <v>532953128.85000002</v>
      </c>
      <c r="K677" s="13">
        <v>43994</v>
      </c>
      <c r="L677">
        <v>1343</v>
      </c>
      <c r="M677" t="s">
        <v>1225</v>
      </c>
    </row>
    <row r="678" spans="1:13" x14ac:dyDescent="0.35">
      <c r="A678" t="s">
        <v>1226</v>
      </c>
      <c r="B678" t="s">
        <v>18</v>
      </c>
      <c r="C678">
        <v>925.15</v>
      </c>
      <c r="D678">
        <v>990</v>
      </c>
      <c r="E678">
        <v>925.15</v>
      </c>
      <c r="F678">
        <v>977.45</v>
      </c>
      <c r="G678">
        <v>978.1</v>
      </c>
      <c r="H678">
        <v>962</v>
      </c>
      <c r="I678">
        <v>4049</v>
      </c>
      <c r="J678">
        <v>3903954.6</v>
      </c>
      <c r="K678" s="13">
        <v>43994</v>
      </c>
      <c r="L678">
        <v>748</v>
      </c>
      <c r="M678" t="s">
        <v>1227</v>
      </c>
    </row>
    <row r="679" spans="1:13" x14ac:dyDescent="0.35">
      <c r="A679" t="s">
        <v>1228</v>
      </c>
      <c r="B679" t="s">
        <v>18</v>
      </c>
      <c r="C679">
        <v>1.2</v>
      </c>
      <c r="D679">
        <v>1.2</v>
      </c>
      <c r="E679">
        <v>1.2</v>
      </c>
      <c r="F679">
        <v>1.2</v>
      </c>
      <c r="G679">
        <v>1.2</v>
      </c>
      <c r="H679">
        <v>1.1499999999999999</v>
      </c>
      <c r="I679">
        <v>50</v>
      </c>
      <c r="J679">
        <v>60</v>
      </c>
      <c r="K679" s="13">
        <v>43994</v>
      </c>
      <c r="L679">
        <v>1</v>
      </c>
      <c r="M679" t="s">
        <v>1229</v>
      </c>
    </row>
    <row r="680" spans="1:13" x14ac:dyDescent="0.35">
      <c r="A680" t="s">
        <v>1230</v>
      </c>
      <c r="B680" t="s">
        <v>18</v>
      </c>
      <c r="C680">
        <v>49</v>
      </c>
      <c r="D680">
        <v>49</v>
      </c>
      <c r="E680">
        <v>47.15</v>
      </c>
      <c r="F680">
        <v>47.15</v>
      </c>
      <c r="G680">
        <v>47.15</v>
      </c>
      <c r="H680">
        <v>49.6</v>
      </c>
      <c r="I680">
        <v>8911</v>
      </c>
      <c r="J680">
        <v>421513.2</v>
      </c>
      <c r="K680" s="13">
        <v>43994</v>
      </c>
      <c r="L680">
        <v>127</v>
      </c>
      <c r="M680" t="s">
        <v>1231</v>
      </c>
    </row>
    <row r="681" spans="1:13" x14ac:dyDescent="0.35">
      <c r="A681" t="s">
        <v>1232</v>
      </c>
      <c r="B681" t="s">
        <v>18</v>
      </c>
      <c r="C681">
        <v>28.4</v>
      </c>
      <c r="D681">
        <v>30.45</v>
      </c>
      <c r="E681">
        <v>27.5</v>
      </c>
      <c r="F681">
        <v>29.9</v>
      </c>
      <c r="G681">
        <v>29.75</v>
      </c>
      <c r="H681">
        <v>29.55</v>
      </c>
      <c r="I681">
        <v>51138</v>
      </c>
      <c r="J681">
        <v>1481333.1</v>
      </c>
      <c r="K681" s="13">
        <v>43994</v>
      </c>
      <c r="L681">
        <v>572</v>
      </c>
      <c r="M681" t="s">
        <v>1233</v>
      </c>
    </row>
    <row r="682" spans="1:13" x14ac:dyDescent="0.35">
      <c r="A682" t="s">
        <v>1234</v>
      </c>
      <c r="B682" t="s">
        <v>18</v>
      </c>
      <c r="C682">
        <v>44.05</v>
      </c>
      <c r="D682">
        <v>46.45</v>
      </c>
      <c r="E682">
        <v>44.05</v>
      </c>
      <c r="F682">
        <v>45.8</v>
      </c>
      <c r="G682">
        <v>45.8</v>
      </c>
      <c r="H682">
        <v>46.8</v>
      </c>
      <c r="I682">
        <v>1545758</v>
      </c>
      <c r="J682">
        <v>70121241.049999997</v>
      </c>
      <c r="K682" s="13">
        <v>43994</v>
      </c>
      <c r="L682">
        <v>7912</v>
      </c>
      <c r="M682" t="s">
        <v>1235</v>
      </c>
    </row>
    <row r="683" spans="1:13" x14ac:dyDescent="0.35">
      <c r="A683" t="s">
        <v>1236</v>
      </c>
      <c r="B683" t="s">
        <v>18</v>
      </c>
      <c r="C683">
        <v>49.9</v>
      </c>
      <c r="D683">
        <v>52.15</v>
      </c>
      <c r="E683">
        <v>49.1</v>
      </c>
      <c r="F683">
        <v>50.65</v>
      </c>
      <c r="G683">
        <v>50.85</v>
      </c>
      <c r="H683">
        <v>51.1</v>
      </c>
      <c r="I683">
        <v>276676</v>
      </c>
      <c r="J683">
        <v>13974180.449999999</v>
      </c>
      <c r="K683" s="13">
        <v>43994</v>
      </c>
      <c r="L683">
        <v>2606</v>
      </c>
      <c r="M683" t="s">
        <v>1237</v>
      </c>
    </row>
    <row r="684" spans="1:13" x14ac:dyDescent="0.35">
      <c r="A684" t="s">
        <v>1238</v>
      </c>
      <c r="B684" t="s">
        <v>18</v>
      </c>
      <c r="C684">
        <v>11.5</v>
      </c>
      <c r="D684">
        <v>12.9</v>
      </c>
      <c r="E684">
        <v>11.25</v>
      </c>
      <c r="F684">
        <v>12.2</v>
      </c>
      <c r="G684">
        <v>12.35</v>
      </c>
      <c r="H684">
        <v>12.05</v>
      </c>
      <c r="I684">
        <v>113104</v>
      </c>
      <c r="J684">
        <v>1375444.2</v>
      </c>
      <c r="K684" s="13">
        <v>43994</v>
      </c>
      <c r="L684">
        <v>377</v>
      </c>
      <c r="M684" t="s">
        <v>1239</v>
      </c>
    </row>
    <row r="685" spans="1:13" x14ac:dyDescent="0.35">
      <c r="A685" t="s">
        <v>1240</v>
      </c>
      <c r="B685" t="s">
        <v>18</v>
      </c>
      <c r="C685">
        <v>11.5</v>
      </c>
      <c r="D685">
        <v>12.8</v>
      </c>
      <c r="E685">
        <v>11.15</v>
      </c>
      <c r="F685">
        <v>12.25</v>
      </c>
      <c r="G685">
        <v>12.25</v>
      </c>
      <c r="H685">
        <v>12.15</v>
      </c>
      <c r="I685">
        <v>45711</v>
      </c>
      <c r="J685">
        <v>559155.94999999995</v>
      </c>
      <c r="K685" s="13">
        <v>43994</v>
      </c>
      <c r="L685">
        <v>209</v>
      </c>
      <c r="M685" t="s">
        <v>1241</v>
      </c>
    </row>
    <row r="686" spans="1:13" x14ac:dyDescent="0.35">
      <c r="A686" t="s">
        <v>1242</v>
      </c>
      <c r="B686" t="s">
        <v>18</v>
      </c>
      <c r="C686">
        <v>23.45</v>
      </c>
      <c r="D686">
        <v>24.75</v>
      </c>
      <c r="E686">
        <v>23.45</v>
      </c>
      <c r="F686">
        <v>24.45</v>
      </c>
      <c r="G686">
        <v>24.4</v>
      </c>
      <c r="H686">
        <v>24.8</v>
      </c>
      <c r="I686">
        <v>2118805</v>
      </c>
      <c r="J686">
        <v>51176394.100000001</v>
      </c>
      <c r="K686" s="13">
        <v>43994</v>
      </c>
      <c r="L686">
        <v>5035</v>
      </c>
      <c r="M686" t="s">
        <v>1243</v>
      </c>
    </row>
    <row r="687" spans="1:13" x14ac:dyDescent="0.35">
      <c r="A687" t="s">
        <v>1242</v>
      </c>
      <c r="B687" t="s">
        <v>3430</v>
      </c>
      <c r="C687">
        <v>1219.95</v>
      </c>
      <c r="D687">
        <v>1220</v>
      </c>
      <c r="E687">
        <v>1209.95</v>
      </c>
      <c r="F687">
        <v>1215.1500000000001</v>
      </c>
      <c r="G687">
        <v>1215.1500000000001</v>
      </c>
      <c r="H687">
        <v>1210</v>
      </c>
      <c r="I687">
        <v>1946</v>
      </c>
      <c r="J687">
        <v>2366331.85</v>
      </c>
      <c r="K687" s="13">
        <v>43994</v>
      </c>
      <c r="L687">
        <v>19</v>
      </c>
      <c r="M687" t="s">
        <v>3570</v>
      </c>
    </row>
    <row r="688" spans="1:13" x14ac:dyDescent="0.35">
      <c r="A688" t="s">
        <v>1242</v>
      </c>
      <c r="B688" t="s">
        <v>3510</v>
      </c>
      <c r="C688">
        <v>1079.5</v>
      </c>
      <c r="D688">
        <v>1081.75</v>
      </c>
      <c r="E688">
        <v>1079.5</v>
      </c>
      <c r="F688">
        <v>1079.54</v>
      </c>
      <c r="G688">
        <v>1079.7</v>
      </c>
      <c r="H688">
        <v>1080.1199999999999</v>
      </c>
      <c r="I688">
        <v>1163</v>
      </c>
      <c r="J688">
        <v>1256303.6200000001</v>
      </c>
      <c r="K688" s="13">
        <v>43994</v>
      </c>
      <c r="L688">
        <v>18</v>
      </c>
      <c r="M688" t="s">
        <v>3571</v>
      </c>
    </row>
    <row r="689" spans="1:13" x14ac:dyDescent="0.35">
      <c r="A689" t="s">
        <v>1242</v>
      </c>
      <c r="B689" t="s">
        <v>3512</v>
      </c>
      <c r="C689">
        <v>1094.9000000000001</v>
      </c>
      <c r="D689">
        <v>1095</v>
      </c>
      <c r="E689">
        <v>1094.9000000000001</v>
      </c>
      <c r="F689">
        <v>1095</v>
      </c>
      <c r="G689">
        <v>1095</v>
      </c>
      <c r="H689">
        <v>1080</v>
      </c>
      <c r="I689">
        <v>10</v>
      </c>
      <c r="J689">
        <v>10949.4</v>
      </c>
      <c r="K689" s="13">
        <v>43994</v>
      </c>
      <c r="L689">
        <v>4</v>
      </c>
      <c r="M689" t="s">
        <v>3572</v>
      </c>
    </row>
    <row r="690" spans="1:13" x14ac:dyDescent="0.35">
      <c r="A690" t="s">
        <v>1242</v>
      </c>
      <c r="B690" t="s">
        <v>3573</v>
      </c>
      <c r="C690">
        <v>1235</v>
      </c>
      <c r="D690">
        <v>1246</v>
      </c>
      <c r="E690">
        <v>1235</v>
      </c>
      <c r="F690">
        <v>1246</v>
      </c>
      <c r="G690">
        <v>1246</v>
      </c>
      <c r="H690">
        <v>1230</v>
      </c>
      <c r="I690">
        <v>29</v>
      </c>
      <c r="J690">
        <v>35921</v>
      </c>
      <c r="K690" s="13">
        <v>43994</v>
      </c>
      <c r="L690">
        <v>3</v>
      </c>
      <c r="M690" t="s">
        <v>3574</v>
      </c>
    </row>
    <row r="691" spans="1:13" x14ac:dyDescent="0.35">
      <c r="A691" t="s">
        <v>1242</v>
      </c>
      <c r="B691" t="s">
        <v>3575</v>
      </c>
      <c r="C691">
        <v>1258.8</v>
      </c>
      <c r="D691">
        <v>1258.8</v>
      </c>
      <c r="E691">
        <v>1256</v>
      </c>
      <c r="F691">
        <v>1257</v>
      </c>
      <c r="G691">
        <v>1257</v>
      </c>
      <c r="H691">
        <v>1250.1500000000001</v>
      </c>
      <c r="I691">
        <v>235</v>
      </c>
      <c r="J691">
        <v>295358</v>
      </c>
      <c r="K691" s="13">
        <v>43994</v>
      </c>
      <c r="L691">
        <v>6</v>
      </c>
      <c r="M691" t="s">
        <v>3576</v>
      </c>
    </row>
    <row r="692" spans="1:13" x14ac:dyDescent="0.35">
      <c r="A692" t="s">
        <v>1242</v>
      </c>
      <c r="B692" t="s">
        <v>3577</v>
      </c>
      <c r="C692">
        <v>1319.9</v>
      </c>
      <c r="D692">
        <v>1320</v>
      </c>
      <c r="E692">
        <v>1310</v>
      </c>
      <c r="F692">
        <v>1310.24</v>
      </c>
      <c r="G692">
        <v>1315</v>
      </c>
      <c r="H692">
        <v>1298.01</v>
      </c>
      <c r="I692">
        <v>307</v>
      </c>
      <c r="J692">
        <v>402734.9</v>
      </c>
      <c r="K692" s="13">
        <v>43994</v>
      </c>
      <c r="L692">
        <v>11</v>
      </c>
      <c r="M692" t="s">
        <v>3578</v>
      </c>
    </row>
    <row r="693" spans="1:13" x14ac:dyDescent="0.35">
      <c r="A693" t="s">
        <v>1242</v>
      </c>
      <c r="B693" t="s">
        <v>3481</v>
      </c>
      <c r="C693">
        <v>1435</v>
      </c>
      <c r="D693">
        <v>1437</v>
      </c>
      <c r="E693">
        <v>1426</v>
      </c>
      <c r="F693">
        <v>1437</v>
      </c>
      <c r="G693">
        <v>1437</v>
      </c>
      <c r="H693">
        <v>1426</v>
      </c>
      <c r="I693">
        <v>107</v>
      </c>
      <c r="J693">
        <v>153274</v>
      </c>
      <c r="K693" s="13">
        <v>43994</v>
      </c>
      <c r="L693">
        <v>12</v>
      </c>
      <c r="M693" t="s">
        <v>3579</v>
      </c>
    </row>
    <row r="694" spans="1:13" x14ac:dyDescent="0.35">
      <c r="A694" t="s">
        <v>3580</v>
      </c>
      <c r="B694" t="s">
        <v>3381</v>
      </c>
      <c r="C694">
        <v>27.5</v>
      </c>
      <c r="D694">
        <v>29</v>
      </c>
      <c r="E694">
        <v>27</v>
      </c>
      <c r="F694">
        <v>28.15</v>
      </c>
      <c r="G694">
        <v>27.75</v>
      </c>
      <c r="H694">
        <v>27.05</v>
      </c>
      <c r="I694">
        <v>22000</v>
      </c>
      <c r="J694">
        <v>610700</v>
      </c>
      <c r="K694" s="13">
        <v>43994</v>
      </c>
      <c r="L694">
        <v>11</v>
      </c>
      <c r="M694" t="s">
        <v>3581</v>
      </c>
    </row>
    <row r="695" spans="1:13" x14ac:dyDescent="0.35">
      <c r="A695" t="s">
        <v>1244</v>
      </c>
      <c r="B695" t="s">
        <v>18</v>
      </c>
      <c r="C695">
        <v>112.7</v>
      </c>
      <c r="D695">
        <v>112.7</v>
      </c>
      <c r="E695">
        <v>103.8</v>
      </c>
      <c r="F695">
        <v>106.73</v>
      </c>
      <c r="G695">
        <v>107</v>
      </c>
      <c r="H695">
        <v>106.9</v>
      </c>
      <c r="I695">
        <v>525</v>
      </c>
      <c r="J695">
        <v>56105.8</v>
      </c>
      <c r="K695" s="13">
        <v>43994</v>
      </c>
      <c r="L695">
        <v>44</v>
      </c>
      <c r="M695" t="s">
        <v>1245</v>
      </c>
    </row>
    <row r="696" spans="1:13" x14ac:dyDescent="0.35">
      <c r="A696" t="s">
        <v>1246</v>
      </c>
      <c r="B696" t="s">
        <v>18</v>
      </c>
      <c r="C696">
        <v>47.9</v>
      </c>
      <c r="D696">
        <v>49.7</v>
      </c>
      <c r="E696">
        <v>47.85</v>
      </c>
      <c r="F696">
        <v>49.35</v>
      </c>
      <c r="G696">
        <v>49.7</v>
      </c>
      <c r="H696">
        <v>50.35</v>
      </c>
      <c r="I696">
        <v>670901</v>
      </c>
      <c r="J696">
        <v>32701506</v>
      </c>
      <c r="K696" s="13">
        <v>43994</v>
      </c>
      <c r="L696">
        <v>3802</v>
      </c>
      <c r="M696" t="s">
        <v>1247</v>
      </c>
    </row>
    <row r="697" spans="1:13" x14ac:dyDescent="0.35">
      <c r="A697" t="s">
        <v>1248</v>
      </c>
      <c r="B697" t="s">
        <v>18</v>
      </c>
      <c r="C697">
        <v>141</v>
      </c>
      <c r="D697">
        <v>155.65</v>
      </c>
      <c r="E697">
        <v>141</v>
      </c>
      <c r="F697">
        <v>153.44999999999999</v>
      </c>
      <c r="G697">
        <v>152.30000000000001</v>
      </c>
      <c r="H697">
        <v>153.19999999999999</v>
      </c>
      <c r="I697">
        <v>28396266</v>
      </c>
      <c r="J697">
        <v>4224731799.5999999</v>
      </c>
      <c r="K697" s="13">
        <v>43994</v>
      </c>
      <c r="L697">
        <v>177270</v>
      </c>
      <c r="M697" t="s">
        <v>1249</v>
      </c>
    </row>
    <row r="698" spans="1:13" x14ac:dyDescent="0.35">
      <c r="A698" t="s">
        <v>1248</v>
      </c>
      <c r="B698" t="s">
        <v>3573</v>
      </c>
      <c r="C698">
        <v>730</v>
      </c>
      <c r="D698">
        <v>730</v>
      </c>
      <c r="E698">
        <v>730</v>
      </c>
      <c r="F698">
        <v>730</v>
      </c>
      <c r="G698">
        <v>730</v>
      </c>
      <c r="H698">
        <v>730</v>
      </c>
      <c r="I698">
        <v>22</v>
      </c>
      <c r="J698">
        <v>16060</v>
      </c>
      <c r="K698" s="13">
        <v>43994</v>
      </c>
      <c r="L698">
        <v>1</v>
      </c>
      <c r="M698" t="s">
        <v>3582</v>
      </c>
    </row>
    <row r="699" spans="1:13" x14ac:dyDescent="0.35">
      <c r="A699" t="s">
        <v>1248</v>
      </c>
      <c r="B699" t="s">
        <v>3583</v>
      </c>
      <c r="C699">
        <v>579.99</v>
      </c>
      <c r="D699">
        <v>585</v>
      </c>
      <c r="E699">
        <v>579.99</v>
      </c>
      <c r="F699">
        <v>585</v>
      </c>
      <c r="G699">
        <v>585</v>
      </c>
      <c r="H699">
        <v>589.95000000000005</v>
      </c>
      <c r="I699">
        <v>125</v>
      </c>
      <c r="J699">
        <v>72624</v>
      </c>
      <c r="K699" s="13">
        <v>43994</v>
      </c>
      <c r="L699">
        <v>4</v>
      </c>
      <c r="M699" t="s">
        <v>3584</v>
      </c>
    </row>
    <row r="700" spans="1:13" x14ac:dyDescent="0.35">
      <c r="A700" t="s">
        <v>1250</v>
      </c>
      <c r="B700" t="s">
        <v>18</v>
      </c>
      <c r="C700">
        <v>43.9</v>
      </c>
      <c r="D700">
        <v>47.05</v>
      </c>
      <c r="E700">
        <v>43.9</v>
      </c>
      <c r="F700">
        <v>46.4</v>
      </c>
      <c r="G700">
        <v>46.3</v>
      </c>
      <c r="H700">
        <v>46.2</v>
      </c>
      <c r="I700">
        <v>519622</v>
      </c>
      <c r="J700">
        <v>23437612.300000001</v>
      </c>
      <c r="K700" s="13">
        <v>43994</v>
      </c>
      <c r="L700">
        <v>3031</v>
      </c>
      <c r="M700" t="s">
        <v>1251</v>
      </c>
    </row>
    <row r="701" spans="1:13" x14ac:dyDescent="0.35">
      <c r="A701" t="s">
        <v>1252</v>
      </c>
      <c r="B701" t="s">
        <v>3585</v>
      </c>
      <c r="C701">
        <v>30.35</v>
      </c>
      <c r="D701">
        <v>30.6</v>
      </c>
      <c r="E701">
        <v>28.1</v>
      </c>
      <c r="F701">
        <v>29.7</v>
      </c>
      <c r="G701">
        <v>29.1</v>
      </c>
      <c r="H701">
        <v>30.5</v>
      </c>
      <c r="I701">
        <v>105500</v>
      </c>
      <c r="J701">
        <v>3077919.6</v>
      </c>
      <c r="K701" s="13">
        <v>43994</v>
      </c>
      <c r="L701">
        <v>371</v>
      </c>
      <c r="M701" t="s">
        <v>3586</v>
      </c>
    </row>
    <row r="702" spans="1:13" x14ac:dyDescent="0.35">
      <c r="A702" t="s">
        <v>1252</v>
      </c>
      <c r="B702" t="s">
        <v>18</v>
      </c>
      <c r="C702">
        <v>84.05</v>
      </c>
      <c r="D702">
        <v>87.6</v>
      </c>
      <c r="E702">
        <v>83.8</v>
      </c>
      <c r="F702">
        <v>85.6</v>
      </c>
      <c r="G702">
        <v>85.4</v>
      </c>
      <c r="H702">
        <v>88.2</v>
      </c>
      <c r="I702">
        <v>826041</v>
      </c>
      <c r="J702">
        <v>70356333</v>
      </c>
      <c r="K702" s="13">
        <v>43994</v>
      </c>
      <c r="L702">
        <v>6215</v>
      </c>
      <c r="M702" t="s">
        <v>1253</v>
      </c>
    </row>
    <row r="703" spans="1:13" x14ac:dyDescent="0.35">
      <c r="A703" t="s">
        <v>3587</v>
      </c>
      <c r="B703" t="s">
        <v>3531</v>
      </c>
      <c r="C703">
        <v>901.1</v>
      </c>
      <c r="D703">
        <v>902.1</v>
      </c>
      <c r="E703">
        <v>901</v>
      </c>
      <c r="F703">
        <v>901</v>
      </c>
      <c r="G703">
        <v>901</v>
      </c>
      <c r="H703">
        <v>894.98</v>
      </c>
      <c r="I703">
        <v>80</v>
      </c>
      <c r="J703">
        <v>72107</v>
      </c>
      <c r="K703" s="13">
        <v>43994</v>
      </c>
      <c r="L703">
        <v>7</v>
      </c>
      <c r="M703" t="s">
        <v>3588</v>
      </c>
    </row>
    <row r="704" spans="1:13" x14ac:dyDescent="0.35">
      <c r="A704" t="s">
        <v>3587</v>
      </c>
      <c r="B704" t="s">
        <v>3430</v>
      </c>
      <c r="C704">
        <v>945</v>
      </c>
      <c r="D704">
        <v>955</v>
      </c>
      <c r="E704">
        <v>945</v>
      </c>
      <c r="F704">
        <v>955</v>
      </c>
      <c r="G704">
        <v>955</v>
      </c>
      <c r="H704">
        <v>945.01</v>
      </c>
      <c r="I704">
        <v>101</v>
      </c>
      <c r="J704">
        <v>96355</v>
      </c>
      <c r="K704" s="13">
        <v>43994</v>
      </c>
      <c r="L704">
        <v>6</v>
      </c>
      <c r="M704" t="s">
        <v>3589</v>
      </c>
    </row>
    <row r="705" spans="1:13" x14ac:dyDescent="0.35">
      <c r="A705" t="s">
        <v>3587</v>
      </c>
      <c r="B705" t="s">
        <v>3510</v>
      </c>
      <c r="C705">
        <v>949</v>
      </c>
      <c r="D705">
        <v>949</v>
      </c>
      <c r="E705">
        <v>944</v>
      </c>
      <c r="F705">
        <v>945</v>
      </c>
      <c r="G705">
        <v>945</v>
      </c>
      <c r="H705">
        <v>949</v>
      </c>
      <c r="I705">
        <v>181</v>
      </c>
      <c r="J705">
        <v>171056</v>
      </c>
      <c r="K705" s="13">
        <v>43994</v>
      </c>
      <c r="L705">
        <v>8</v>
      </c>
      <c r="M705" t="s">
        <v>3590</v>
      </c>
    </row>
    <row r="706" spans="1:13" x14ac:dyDescent="0.35">
      <c r="A706" t="s">
        <v>3587</v>
      </c>
      <c r="B706" t="s">
        <v>3512</v>
      </c>
      <c r="C706">
        <v>870</v>
      </c>
      <c r="D706">
        <v>870</v>
      </c>
      <c r="E706">
        <v>870</v>
      </c>
      <c r="F706">
        <v>870</v>
      </c>
      <c r="G706">
        <v>870</v>
      </c>
      <c r="H706">
        <v>878</v>
      </c>
      <c r="I706">
        <v>1</v>
      </c>
      <c r="J706">
        <v>870</v>
      </c>
      <c r="K706" s="13">
        <v>43994</v>
      </c>
      <c r="L706">
        <v>1</v>
      </c>
      <c r="M706" t="s">
        <v>3591</v>
      </c>
    </row>
    <row r="707" spans="1:13" x14ac:dyDescent="0.35">
      <c r="A707" t="s">
        <v>3587</v>
      </c>
      <c r="B707" t="s">
        <v>3452</v>
      </c>
      <c r="C707">
        <v>945</v>
      </c>
      <c r="D707">
        <v>945</v>
      </c>
      <c r="E707">
        <v>945</v>
      </c>
      <c r="F707">
        <v>945</v>
      </c>
      <c r="G707">
        <v>945</v>
      </c>
      <c r="H707">
        <v>945</v>
      </c>
      <c r="I707">
        <v>110</v>
      </c>
      <c r="J707">
        <v>103950</v>
      </c>
      <c r="K707" s="13">
        <v>43994</v>
      </c>
      <c r="L707">
        <v>2</v>
      </c>
      <c r="M707" t="s">
        <v>3592</v>
      </c>
    </row>
    <row r="708" spans="1:13" x14ac:dyDescent="0.35">
      <c r="A708" t="s">
        <v>1254</v>
      </c>
      <c r="B708" t="s">
        <v>18</v>
      </c>
      <c r="C708">
        <v>133.4</v>
      </c>
      <c r="D708">
        <v>133.9</v>
      </c>
      <c r="E708">
        <v>122.7</v>
      </c>
      <c r="F708">
        <v>132.9</v>
      </c>
      <c r="G708">
        <v>132.75</v>
      </c>
      <c r="H708">
        <v>133.47999999999999</v>
      </c>
      <c r="I708">
        <v>941</v>
      </c>
      <c r="J708">
        <v>123694.3</v>
      </c>
      <c r="K708" s="13">
        <v>43994</v>
      </c>
      <c r="L708">
        <v>77</v>
      </c>
      <c r="M708" t="s">
        <v>1255</v>
      </c>
    </row>
    <row r="709" spans="1:13" x14ac:dyDescent="0.35">
      <c r="A709" t="s">
        <v>1256</v>
      </c>
      <c r="B709" t="s">
        <v>18</v>
      </c>
      <c r="C709">
        <v>24.24</v>
      </c>
      <c r="D709">
        <v>25</v>
      </c>
      <c r="E709">
        <v>24.01</v>
      </c>
      <c r="F709">
        <v>24.94</v>
      </c>
      <c r="G709">
        <v>24.97</v>
      </c>
      <c r="H709">
        <v>25.24</v>
      </c>
      <c r="I709">
        <v>162580</v>
      </c>
      <c r="J709">
        <v>4023047.76</v>
      </c>
      <c r="K709" s="13">
        <v>43994</v>
      </c>
      <c r="L709">
        <v>7951</v>
      </c>
      <c r="M709" t="s">
        <v>1257</v>
      </c>
    </row>
    <row r="710" spans="1:13" x14ac:dyDescent="0.35">
      <c r="A710" t="s">
        <v>45</v>
      </c>
      <c r="B710" t="s">
        <v>18</v>
      </c>
      <c r="C710">
        <v>324.2</v>
      </c>
      <c r="D710">
        <v>346.15</v>
      </c>
      <c r="E710">
        <v>324.10000000000002</v>
      </c>
      <c r="F710">
        <v>344.2</v>
      </c>
      <c r="G710">
        <v>343</v>
      </c>
      <c r="H710">
        <v>341.25</v>
      </c>
      <c r="I710">
        <v>47509639</v>
      </c>
      <c r="J710">
        <v>15931308263.85</v>
      </c>
      <c r="K710" s="13">
        <v>43994</v>
      </c>
      <c r="L710">
        <v>354357</v>
      </c>
      <c r="M710" t="s">
        <v>1258</v>
      </c>
    </row>
    <row r="711" spans="1:13" x14ac:dyDescent="0.35">
      <c r="A711" t="s">
        <v>1259</v>
      </c>
      <c r="B711" t="s">
        <v>18</v>
      </c>
      <c r="C711">
        <v>204.7</v>
      </c>
      <c r="D711">
        <v>206.14</v>
      </c>
      <c r="E711">
        <v>195</v>
      </c>
      <c r="F711">
        <v>204.83</v>
      </c>
      <c r="G711">
        <v>205.27</v>
      </c>
      <c r="H711">
        <v>203.82</v>
      </c>
      <c r="I711">
        <v>26706</v>
      </c>
      <c r="J711">
        <v>5352059.91</v>
      </c>
      <c r="K711" s="13">
        <v>43994</v>
      </c>
      <c r="L711">
        <v>711</v>
      </c>
      <c r="M711" t="s">
        <v>1260</v>
      </c>
    </row>
    <row r="712" spans="1:13" x14ac:dyDescent="0.35">
      <c r="A712" t="s">
        <v>1261</v>
      </c>
      <c r="B712" t="s">
        <v>18</v>
      </c>
      <c r="C712">
        <v>107.76</v>
      </c>
      <c r="D712">
        <v>117.9</v>
      </c>
      <c r="E712">
        <v>100.2</v>
      </c>
      <c r="F712">
        <v>115.25</v>
      </c>
      <c r="G712">
        <v>117</v>
      </c>
      <c r="H712">
        <v>112.65</v>
      </c>
      <c r="I712">
        <v>33690</v>
      </c>
      <c r="J712">
        <v>3788204.37</v>
      </c>
      <c r="K712" s="13">
        <v>43994</v>
      </c>
      <c r="L712">
        <v>216</v>
      </c>
      <c r="M712" t="s">
        <v>1262</v>
      </c>
    </row>
    <row r="713" spans="1:13" x14ac:dyDescent="0.35">
      <c r="A713" t="s">
        <v>1263</v>
      </c>
      <c r="B713" t="s">
        <v>18</v>
      </c>
      <c r="C713">
        <v>1274</v>
      </c>
      <c r="D713">
        <v>1328.65</v>
      </c>
      <c r="E713">
        <v>1257.6500000000001</v>
      </c>
      <c r="F713">
        <v>1301.25</v>
      </c>
      <c r="G713">
        <v>1292.5999999999999</v>
      </c>
      <c r="H713">
        <v>1299.8</v>
      </c>
      <c r="I713">
        <v>385454</v>
      </c>
      <c r="J713">
        <v>497950193.25</v>
      </c>
      <c r="K713" s="13">
        <v>43994</v>
      </c>
      <c r="L713">
        <v>39749</v>
      </c>
      <c r="M713" t="s">
        <v>1264</v>
      </c>
    </row>
    <row r="714" spans="1:13" x14ac:dyDescent="0.35">
      <c r="A714" t="s">
        <v>1265</v>
      </c>
      <c r="B714" t="s">
        <v>18</v>
      </c>
      <c r="C714">
        <v>42.3</v>
      </c>
      <c r="D714">
        <v>44.99</v>
      </c>
      <c r="E714">
        <v>42.3</v>
      </c>
      <c r="F714">
        <v>42.67</v>
      </c>
      <c r="G714">
        <v>42.56</v>
      </c>
      <c r="H714">
        <v>42.62</v>
      </c>
      <c r="I714">
        <v>590399</v>
      </c>
      <c r="J714">
        <v>25189957.260000002</v>
      </c>
      <c r="K714" s="13">
        <v>43994</v>
      </c>
      <c r="L714">
        <v>1196</v>
      </c>
      <c r="M714" t="s">
        <v>1266</v>
      </c>
    </row>
    <row r="715" spans="1:13" x14ac:dyDescent="0.35">
      <c r="A715" t="s">
        <v>1267</v>
      </c>
      <c r="B715" t="s">
        <v>18</v>
      </c>
      <c r="C715">
        <v>1000</v>
      </c>
      <c r="D715">
        <v>1000</v>
      </c>
      <c r="E715">
        <v>997.1</v>
      </c>
      <c r="F715">
        <v>999.99</v>
      </c>
      <c r="G715">
        <v>999.99</v>
      </c>
      <c r="H715">
        <v>999.99</v>
      </c>
      <c r="I715">
        <v>54938</v>
      </c>
      <c r="J715">
        <v>54937507.020000003</v>
      </c>
      <c r="K715" s="13">
        <v>43994</v>
      </c>
      <c r="L715">
        <v>46</v>
      </c>
      <c r="M715" t="s">
        <v>1268</v>
      </c>
    </row>
    <row r="716" spans="1:13" x14ac:dyDescent="0.35">
      <c r="A716" t="s">
        <v>1269</v>
      </c>
      <c r="B716" t="s">
        <v>18</v>
      </c>
      <c r="C716">
        <v>80</v>
      </c>
      <c r="D716">
        <v>85.5</v>
      </c>
      <c r="E716">
        <v>79.2</v>
      </c>
      <c r="F716">
        <v>84.1</v>
      </c>
      <c r="G716">
        <v>84.5</v>
      </c>
      <c r="H716">
        <v>84.59</v>
      </c>
      <c r="I716">
        <v>1829</v>
      </c>
      <c r="J716">
        <v>151590.26999999999</v>
      </c>
      <c r="K716" s="13">
        <v>43994</v>
      </c>
      <c r="L716">
        <v>188</v>
      </c>
      <c r="M716" t="s">
        <v>1270</v>
      </c>
    </row>
    <row r="717" spans="1:13" x14ac:dyDescent="0.35">
      <c r="A717" t="s">
        <v>1271</v>
      </c>
      <c r="B717" t="s">
        <v>18</v>
      </c>
      <c r="C717">
        <v>53.5</v>
      </c>
      <c r="D717">
        <v>54.66</v>
      </c>
      <c r="E717">
        <v>53.37</v>
      </c>
      <c r="F717">
        <v>54.41</v>
      </c>
      <c r="G717">
        <v>54.41</v>
      </c>
      <c r="H717">
        <v>54.12</v>
      </c>
      <c r="I717">
        <v>3016</v>
      </c>
      <c r="J717">
        <v>163184.9</v>
      </c>
      <c r="K717" s="13">
        <v>43994</v>
      </c>
      <c r="L717">
        <v>21</v>
      </c>
      <c r="M717" t="s">
        <v>1272</v>
      </c>
    </row>
    <row r="718" spans="1:13" x14ac:dyDescent="0.35">
      <c r="A718" t="s">
        <v>1273</v>
      </c>
      <c r="B718" t="s">
        <v>18</v>
      </c>
      <c r="C718">
        <v>55</v>
      </c>
      <c r="D718">
        <v>55</v>
      </c>
      <c r="E718">
        <v>50</v>
      </c>
      <c r="F718">
        <v>54.21</v>
      </c>
      <c r="G718">
        <v>54.8</v>
      </c>
      <c r="H718">
        <v>54.04</v>
      </c>
      <c r="I718">
        <v>12415</v>
      </c>
      <c r="J718">
        <v>670435.93000000005</v>
      </c>
      <c r="K718" s="13">
        <v>43994</v>
      </c>
      <c r="L718">
        <v>124</v>
      </c>
      <c r="M718" t="s">
        <v>1274</v>
      </c>
    </row>
    <row r="719" spans="1:13" x14ac:dyDescent="0.35">
      <c r="A719" t="s">
        <v>1275</v>
      </c>
      <c r="B719" t="s">
        <v>18</v>
      </c>
      <c r="C719">
        <v>106.89</v>
      </c>
      <c r="D719">
        <v>109.7</v>
      </c>
      <c r="E719">
        <v>105.52</v>
      </c>
      <c r="F719">
        <v>109.26</v>
      </c>
      <c r="G719">
        <v>108.82</v>
      </c>
      <c r="H719">
        <v>109.02</v>
      </c>
      <c r="I719">
        <v>1675</v>
      </c>
      <c r="J719">
        <v>179048.73</v>
      </c>
      <c r="K719" s="13">
        <v>43994</v>
      </c>
      <c r="L719">
        <v>90</v>
      </c>
      <c r="M719" t="s">
        <v>1276</v>
      </c>
    </row>
    <row r="720" spans="1:13" x14ac:dyDescent="0.35">
      <c r="A720" t="s">
        <v>46</v>
      </c>
      <c r="B720" t="s">
        <v>18</v>
      </c>
      <c r="C720">
        <v>102.6</v>
      </c>
      <c r="D720">
        <v>105.72</v>
      </c>
      <c r="E720">
        <v>101.55</v>
      </c>
      <c r="F720">
        <v>105.05</v>
      </c>
      <c r="G720">
        <v>105.06</v>
      </c>
      <c r="H720">
        <v>104.55</v>
      </c>
      <c r="I720">
        <v>300553</v>
      </c>
      <c r="J720">
        <v>31302320.739999998</v>
      </c>
      <c r="K720" s="13">
        <v>43994</v>
      </c>
      <c r="L720">
        <v>4260</v>
      </c>
      <c r="M720" t="s">
        <v>1277</v>
      </c>
    </row>
    <row r="721" spans="1:13" x14ac:dyDescent="0.35">
      <c r="A721" t="s">
        <v>1278</v>
      </c>
      <c r="B721" t="s">
        <v>18</v>
      </c>
      <c r="C721">
        <v>51</v>
      </c>
      <c r="D721">
        <v>52.48</v>
      </c>
      <c r="E721">
        <v>49.55</v>
      </c>
      <c r="F721">
        <v>50.42</v>
      </c>
      <c r="G721">
        <v>50.58</v>
      </c>
      <c r="H721">
        <v>51.22</v>
      </c>
      <c r="I721">
        <v>5209</v>
      </c>
      <c r="J721">
        <v>260843.98</v>
      </c>
      <c r="K721" s="13">
        <v>43994</v>
      </c>
      <c r="L721">
        <v>265</v>
      </c>
      <c r="M721" t="s">
        <v>1279</v>
      </c>
    </row>
    <row r="722" spans="1:13" x14ac:dyDescent="0.35">
      <c r="A722" t="s">
        <v>1280</v>
      </c>
      <c r="B722" t="s">
        <v>18</v>
      </c>
      <c r="C722">
        <v>24.75</v>
      </c>
      <c r="D722">
        <v>26.33</v>
      </c>
      <c r="E722">
        <v>21.77</v>
      </c>
      <c r="F722">
        <v>25.23</v>
      </c>
      <c r="G722">
        <v>25.4</v>
      </c>
      <c r="H722">
        <v>25.24</v>
      </c>
      <c r="I722">
        <v>393339</v>
      </c>
      <c r="J722">
        <v>9753232.8399999999</v>
      </c>
      <c r="K722" s="13">
        <v>43994</v>
      </c>
      <c r="L722">
        <v>176</v>
      </c>
      <c r="M722" t="s">
        <v>1281</v>
      </c>
    </row>
    <row r="723" spans="1:13" x14ac:dyDescent="0.35">
      <c r="A723" t="s">
        <v>1282</v>
      </c>
      <c r="B723" t="s">
        <v>18</v>
      </c>
      <c r="C723">
        <v>380</v>
      </c>
      <c r="D723">
        <v>403.5</v>
      </c>
      <c r="E723">
        <v>380</v>
      </c>
      <c r="F723">
        <v>400.95</v>
      </c>
      <c r="G723">
        <v>400.75</v>
      </c>
      <c r="H723">
        <v>395.35</v>
      </c>
      <c r="I723">
        <v>2240478</v>
      </c>
      <c r="J723">
        <v>884001833.89999998</v>
      </c>
      <c r="K723" s="13">
        <v>43994</v>
      </c>
      <c r="L723">
        <v>59440</v>
      </c>
      <c r="M723" t="s">
        <v>1283</v>
      </c>
    </row>
    <row r="724" spans="1:13" x14ac:dyDescent="0.35">
      <c r="A724" t="s">
        <v>1284</v>
      </c>
      <c r="B724" t="s">
        <v>18</v>
      </c>
      <c r="C724">
        <v>355.93</v>
      </c>
      <c r="D724">
        <v>364.55</v>
      </c>
      <c r="E724">
        <v>341.7</v>
      </c>
      <c r="F724">
        <v>362.49</v>
      </c>
      <c r="G724">
        <v>363</v>
      </c>
      <c r="H724">
        <v>361.93</v>
      </c>
      <c r="I724">
        <v>3125</v>
      </c>
      <c r="J724">
        <v>1101901.7</v>
      </c>
      <c r="K724" s="13">
        <v>43994</v>
      </c>
      <c r="L724">
        <v>176</v>
      </c>
      <c r="M724" t="s">
        <v>1285</v>
      </c>
    </row>
    <row r="725" spans="1:13" x14ac:dyDescent="0.35">
      <c r="A725" t="s">
        <v>1286</v>
      </c>
      <c r="B725" t="s">
        <v>18</v>
      </c>
      <c r="C725">
        <v>34.549999999999997</v>
      </c>
      <c r="D725">
        <v>47.6</v>
      </c>
      <c r="E725">
        <v>34.549999999999997</v>
      </c>
      <c r="F725">
        <v>43.1</v>
      </c>
      <c r="G725">
        <v>42.25</v>
      </c>
      <c r="H725">
        <v>40.200000000000003</v>
      </c>
      <c r="I725">
        <v>1948469</v>
      </c>
      <c r="J725">
        <v>86277230.049999997</v>
      </c>
      <c r="K725" s="13">
        <v>43994</v>
      </c>
      <c r="L725">
        <v>8530</v>
      </c>
      <c r="M725" t="s">
        <v>1287</v>
      </c>
    </row>
    <row r="726" spans="1:13" x14ac:dyDescent="0.35">
      <c r="A726" t="s">
        <v>1288</v>
      </c>
      <c r="B726" t="s">
        <v>18</v>
      </c>
      <c r="C726">
        <v>2569.9499999999998</v>
      </c>
      <c r="D726">
        <v>2594.65</v>
      </c>
      <c r="E726">
        <v>2542</v>
      </c>
      <c r="F726">
        <v>2547.6999999999998</v>
      </c>
      <c r="G726">
        <v>2550</v>
      </c>
      <c r="H726">
        <v>2609</v>
      </c>
      <c r="I726">
        <v>620</v>
      </c>
      <c r="J726">
        <v>1583266.6</v>
      </c>
      <c r="K726" s="13">
        <v>43994</v>
      </c>
      <c r="L726">
        <v>119</v>
      </c>
      <c r="M726" t="s">
        <v>1289</v>
      </c>
    </row>
    <row r="727" spans="1:13" x14ac:dyDescent="0.35">
      <c r="A727" t="s">
        <v>1290</v>
      </c>
      <c r="B727" t="s">
        <v>18</v>
      </c>
      <c r="C727">
        <v>30.45</v>
      </c>
      <c r="D727">
        <v>32.4</v>
      </c>
      <c r="E727">
        <v>30.45</v>
      </c>
      <c r="F727">
        <v>31.75</v>
      </c>
      <c r="G727">
        <v>32.200000000000003</v>
      </c>
      <c r="H727">
        <v>32.049999999999997</v>
      </c>
      <c r="I727">
        <v>7111230</v>
      </c>
      <c r="J727">
        <v>220448448.94999999</v>
      </c>
      <c r="K727" s="13">
        <v>43994</v>
      </c>
      <c r="L727">
        <v>15045</v>
      </c>
      <c r="M727" t="s">
        <v>1291</v>
      </c>
    </row>
    <row r="728" spans="1:13" x14ac:dyDescent="0.35">
      <c r="A728" t="s">
        <v>1292</v>
      </c>
      <c r="B728" t="s">
        <v>18</v>
      </c>
      <c r="C728">
        <v>4540</v>
      </c>
      <c r="D728">
        <v>4700</v>
      </c>
      <c r="E728">
        <v>4540</v>
      </c>
      <c r="F728">
        <v>4588</v>
      </c>
      <c r="G728">
        <v>4552.05</v>
      </c>
      <c r="H728">
        <v>4539.8999999999996</v>
      </c>
      <c r="I728">
        <v>174</v>
      </c>
      <c r="J728">
        <v>805277</v>
      </c>
      <c r="K728" s="13">
        <v>43994</v>
      </c>
      <c r="L728">
        <v>78</v>
      </c>
      <c r="M728" t="s">
        <v>1293</v>
      </c>
    </row>
    <row r="729" spans="1:13" x14ac:dyDescent="0.35">
      <c r="A729" t="s">
        <v>1294</v>
      </c>
      <c r="B729" t="s">
        <v>18</v>
      </c>
      <c r="C729">
        <v>8.5</v>
      </c>
      <c r="D729">
        <v>10.3</v>
      </c>
      <c r="E729">
        <v>8</v>
      </c>
      <c r="F729">
        <v>10.15</v>
      </c>
      <c r="G729">
        <v>10.25</v>
      </c>
      <c r="H729">
        <v>9.4</v>
      </c>
      <c r="I729">
        <v>1502759376</v>
      </c>
      <c r="J729">
        <v>14121532330.65</v>
      </c>
      <c r="K729" s="13">
        <v>43994</v>
      </c>
      <c r="L729">
        <v>620681</v>
      </c>
      <c r="M729" t="s">
        <v>1295</v>
      </c>
    </row>
    <row r="730" spans="1:13" x14ac:dyDescent="0.35">
      <c r="A730" t="s">
        <v>1296</v>
      </c>
      <c r="B730" t="s">
        <v>18</v>
      </c>
      <c r="C730">
        <v>16.850000000000001</v>
      </c>
      <c r="D730">
        <v>18.649999999999999</v>
      </c>
      <c r="E730">
        <v>16.600000000000001</v>
      </c>
      <c r="F730">
        <v>18.2</v>
      </c>
      <c r="G730">
        <v>18.25</v>
      </c>
      <c r="H730">
        <v>17.8</v>
      </c>
      <c r="I730">
        <v>30318129</v>
      </c>
      <c r="J730">
        <v>550012931.95000005</v>
      </c>
      <c r="K730" s="13">
        <v>43994</v>
      </c>
      <c r="L730">
        <v>39273</v>
      </c>
      <c r="M730" t="s">
        <v>1297</v>
      </c>
    </row>
    <row r="731" spans="1:13" x14ac:dyDescent="0.35">
      <c r="A731" t="s">
        <v>1298</v>
      </c>
      <c r="B731" t="s">
        <v>18</v>
      </c>
      <c r="C731">
        <v>23</v>
      </c>
      <c r="D731">
        <v>26.2</v>
      </c>
      <c r="E731">
        <v>23</v>
      </c>
      <c r="F731">
        <v>25.85</v>
      </c>
      <c r="G731">
        <v>25.9</v>
      </c>
      <c r="H731">
        <v>24.9</v>
      </c>
      <c r="I731">
        <v>71082506</v>
      </c>
      <c r="J731">
        <v>1764440523.3</v>
      </c>
      <c r="K731" s="13">
        <v>43994</v>
      </c>
      <c r="L731">
        <v>110583</v>
      </c>
      <c r="M731" t="s">
        <v>1299</v>
      </c>
    </row>
    <row r="732" spans="1:13" x14ac:dyDescent="0.35">
      <c r="A732" t="s">
        <v>1298</v>
      </c>
      <c r="B732" t="s">
        <v>3531</v>
      </c>
      <c r="C732">
        <v>5180.51</v>
      </c>
      <c r="D732">
        <v>5180.51</v>
      </c>
      <c r="E732">
        <v>5180.51</v>
      </c>
      <c r="F732">
        <v>5180.51</v>
      </c>
      <c r="G732">
        <v>5180.51</v>
      </c>
      <c r="H732">
        <v>5180</v>
      </c>
      <c r="I732">
        <v>14</v>
      </c>
      <c r="J732">
        <v>72527.14</v>
      </c>
      <c r="K732" s="13">
        <v>43994</v>
      </c>
      <c r="L732">
        <v>3</v>
      </c>
      <c r="M732" t="s">
        <v>3593</v>
      </c>
    </row>
    <row r="733" spans="1:13" x14ac:dyDescent="0.35">
      <c r="A733" t="s">
        <v>1298</v>
      </c>
      <c r="B733" t="s">
        <v>3514</v>
      </c>
      <c r="C733">
        <v>5080.5</v>
      </c>
      <c r="D733">
        <v>5080.5</v>
      </c>
      <c r="E733">
        <v>5080.5</v>
      </c>
      <c r="F733">
        <v>5080.5</v>
      </c>
      <c r="G733">
        <v>5080.5</v>
      </c>
      <c r="H733">
        <v>5003</v>
      </c>
      <c r="I733">
        <v>8</v>
      </c>
      <c r="J733">
        <v>40644</v>
      </c>
      <c r="K733" s="13">
        <v>43994</v>
      </c>
      <c r="L733">
        <v>3</v>
      </c>
      <c r="M733" t="s">
        <v>3594</v>
      </c>
    </row>
    <row r="734" spans="1:13" x14ac:dyDescent="0.35">
      <c r="A734" t="s">
        <v>1298</v>
      </c>
      <c r="B734" t="s">
        <v>3452</v>
      </c>
      <c r="C734">
        <v>10000.049999999999</v>
      </c>
      <c r="D734">
        <v>10090</v>
      </c>
      <c r="E734">
        <v>10000.049999999999</v>
      </c>
      <c r="F734">
        <v>10090</v>
      </c>
      <c r="G734">
        <v>10090</v>
      </c>
      <c r="H734">
        <v>10090</v>
      </c>
      <c r="I734">
        <v>8</v>
      </c>
      <c r="J734">
        <v>80360.2</v>
      </c>
      <c r="K734" s="13">
        <v>43994</v>
      </c>
      <c r="L734">
        <v>2</v>
      </c>
      <c r="M734" t="s">
        <v>3595</v>
      </c>
    </row>
    <row r="735" spans="1:13" x14ac:dyDescent="0.35">
      <c r="A735" t="s">
        <v>1298</v>
      </c>
      <c r="B735" t="s">
        <v>3454</v>
      </c>
      <c r="C735">
        <v>9893</v>
      </c>
      <c r="D735">
        <v>9899</v>
      </c>
      <c r="E735">
        <v>9893</v>
      </c>
      <c r="F735">
        <v>9899</v>
      </c>
      <c r="G735">
        <v>9899</v>
      </c>
      <c r="H735">
        <v>9893.44</v>
      </c>
      <c r="I735">
        <v>6</v>
      </c>
      <c r="J735">
        <v>59370</v>
      </c>
      <c r="K735" s="13">
        <v>43994</v>
      </c>
      <c r="L735">
        <v>2</v>
      </c>
      <c r="M735" t="s">
        <v>3596</v>
      </c>
    </row>
    <row r="736" spans="1:13" x14ac:dyDescent="0.35">
      <c r="A736" t="s">
        <v>1300</v>
      </c>
      <c r="B736" t="s">
        <v>18</v>
      </c>
      <c r="C736">
        <v>102.4</v>
      </c>
      <c r="D736">
        <v>102.9</v>
      </c>
      <c r="E736">
        <v>102.4</v>
      </c>
      <c r="F736">
        <v>102.9</v>
      </c>
      <c r="G736">
        <v>102.9</v>
      </c>
      <c r="H736">
        <v>104.95</v>
      </c>
      <c r="I736">
        <v>35</v>
      </c>
      <c r="J736">
        <v>3599</v>
      </c>
      <c r="K736" s="13">
        <v>43994</v>
      </c>
      <c r="L736">
        <v>4</v>
      </c>
      <c r="M736" t="s">
        <v>1301</v>
      </c>
    </row>
    <row r="737" spans="1:13" x14ac:dyDescent="0.35">
      <c r="A737" t="s">
        <v>1302</v>
      </c>
      <c r="B737" t="s">
        <v>18</v>
      </c>
      <c r="C737">
        <v>170.8</v>
      </c>
      <c r="D737">
        <v>174.45</v>
      </c>
      <c r="E737">
        <v>167.85</v>
      </c>
      <c r="F737">
        <v>171.65</v>
      </c>
      <c r="G737">
        <v>171.35</v>
      </c>
      <c r="H737">
        <v>173.85</v>
      </c>
      <c r="I737">
        <v>565673</v>
      </c>
      <c r="J737">
        <v>96746266.599999994</v>
      </c>
      <c r="K737" s="13">
        <v>43994</v>
      </c>
      <c r="L737">
        <v>9211</v>
      </c>
      <c r="M737" t="s">
        <v>1303</v>
      </c>
    </row>
    <row r="738" spans="1:13" x14ac:dyDescent="0.35">
      <c r="A738" t="s">
        <v>1304</v>
      </c>
      <c r="B738" t="s">
        <v>18</v>
      </c>
      <c r="C738">
        <v>284</v>
      </c>
      <c r="D738">
        <v>299.5</v>
      </c>
      <c r="E738">
        <v>284</v>
      </c>
      <c r="F738">
        <v>290.5</v>
      </c>
      <c r="G738">
        <v>289.2</v>
      </c>
      <c r="H738">
        <v>293.85000000000002</v>
      </c>
      <c r="I738">
        <v>4344</v>
      </c>
      <c r="J738">
        <v>1253649.8500000001</v>
      </c>
      <c r="K738" s="13">
        <v>43994</v>
      </c>
      <c r="L738">
        <v>270</v>
      </c>
      <c r="M738" t="s">
        <v>1305</v>
      </c>
    </row>
    <row r="739" spans="1:13" x14ac:dyDescent="0.35">
      <c r="A739" t="s">
        <v>1306</v>
      </c>
      <c r="B739" t="s">
        <v>18</v>
      </c>
      <c r="C739">
        <v>375</v>
      </c>
      <c r="D739">
        <v>409.45</v>
      </c>
      <c r="E739">
        <v>375</v>
      </c>
      <c r="F739">
        <v>397.45</v>
      </c>
      <c r="G739">
        <v>395.95</v>
      </c>
      <c r="H739">
        <v>405.85</v>
      </c>
      <c r="I739">
        <v>48734</v>
      </c>
      <c r="J739">
        <v>19352150.199999999</v>
      </c>
      <c r="K739" s="13">
        <v>43994</v>
      </c>
      <c r="L739">
        <v>2655</v>
      </c>
      <c r="M739" t="s">
        <v>1307</v>
      </c>
    </row>
    <row r="740" spans="1:13" x14ac:dyDescent="0.35">
      <c r="A740" t="s">
        <v>1308</v>
      </c>
      <c r="B740" t="s">
        <v>18</v>
      </c>
      <c r="C740">
        <v>6.2</v>
      </c>
      <c r="D740">
        <v>6.8</v>
      </c>
      <c r="E740">
        <v>6.2</v>
      </c>
      <c r="F740">
        <v>6.7</v>
      </c>
      <c r="G740">
        <v>6.75</v>
      </c>
      <c r="H740">
        <v>6.75</v>
      </c>
      <c r="I740">
        <v>4715329</v>
      </c>
      <c r="J740">
        <v>30747239.949999999</v>
      </c>
      <c r="K740" s="13">
        <v>43994</v>
      </c>
      <c r="L740">
        <v>116684</v>
      </c>
      <c r="M740" t="s">
        <v>1309</v>
      </c>
    </row>
    <row r="741" spans="1:13" x14ac:dyDescent="0.35">
      <c r="A741" t="s">
        <v>1308</v>
      </c>
      <c r="B741" t="s">
        <v>814</v>
      </c>
      <c r="C741">
        <v>1054</v>
      </c>
      <c r="D741">
        <v>1054</v>
      </c>
      <c r="E741">
        <v>1045</v>
      </c>
      <c r="F741">
        <v>1050</v>
      </c>
      <c r="G741">
        <v>1050</v>
      </c>
      <c r="H741">
        <v>1045.3</v>
      </c>
      <c r="I741">
        <v>181</v>
      </c>
      <c r="J741">
        <v>189931.75</v>
      </c>
      <c r="K741" s="13">
        <v>43994</v>
      </c>
      <c r="L741">
        <v>7</v>
      </c>
      <c r="M741" t="s">
        <v>3597</v>
      </c>
    </row>
    <row r="742" spans="1:13" x14ac:dyDescent="0.35">
      <c r="A742" t="s">
        <v>1308</v>
      </c>
      <c r="B742" t="s">
        <v>3494</v>
      </c>
      <c r="C742">
        <v>1500</v>
      </c>
      <c r="D742">
        <v>1500</v>
      </c>
      <c r="E742">
        <v>1500</v>
      </c>
      <c r="F742">
        <v>1500</v>
      </c>
      <c r="G742">
        <v>1500</v>
      </c>
      <c r="H742">
        <v>1500</v>
      </c>
      <c r="I742">
        <v>91</v>
      </c>
      <c r="J742">
        <v>136500</v>
      </c>
      <c r="K742" s="13">
        <v>43994</v>
      </c>
      <c r="L742">
        <v>2</v>
      </c>
      <c r="M742" t="s">
        <v>3598</v>
      </c>
    </row>
    <row r="743" spans="1:13" x14ac:dyDescent="0.35">
      <c r="A743" t="s">
        <v>1310</v>
      </c>
      <c r="B743" t="s">
        <v>18</v>
      </c>
      <c r="C743">
        <v>113.1</v>
      </c>
      <c r="D743">
        <v>124</v>
      </c>
      <c r="E743">
        <v>113.1</v>
      </c>
      <c r="F743">
        <v>120.6</v>
      </c>
      <c r="G743">
        <v>122.3</v>
      </c>
      <c r="H743">
        <v>124.3</v>
      </c>
      <c r="I743">
        <v>1999</v>
      </c>
      <c r="J743">
        <v>239325.25</v>
      </c>
      <c r="K743" s="13">
        <v>43994</v>
      </c>
      <c r="L743">
        <v>97</v>
      </c>
      <c r="M743" t="s">
        <v>1311</v>
      </c>
    </row>
    <row r="744" spans="1:13" x14ac:dyDescent="0.35">
      <c r="A744" t="s">
        <v>1312</v>
      </c>
      <c r="B744" t="s">
        <v>18</v>
      </c>
      <c r="C744">
        <v>211</v>
      </c>
      <c r="D744">
        <v>224.45</v>
      </c>
      <c r="E744">
        <v>208</v>
      </c>
      <c r="F744">
        <v>222.95</v>
      </c>
      <c r="G744">
        <v>222.95</v>
      </c>
      <c r="H744">
        <v>222.15</v>
      </c>
      <c r="I744">
        <v>80103</v>
      </c>
      <c r="J744">
        <v>17429908</v>
      </c>
      <c r="K744" s="13">
        <v>43994</v>
      </c>
      <c r="L744">
        <v>3050</v>
      </c>
      <c r="M744" t="s">
        <v>1313</v>
      </c>
    </row>
    <row r="745" spans="1:13" x14ac:dyDescent="0.35">
      <c r="A745" t="s">
        <v>1314</v>
      </c>
      <c r="B745" t="s">
        <v>18</v>
      </c>
      <c r="C745">
        <v>462</v>
      </c>
      <c r="D745">
        <v>485.3</v>
      </c>
      <c r="E745">
        <v>456.35</v>
      </c>
      <c r="F745">
        <v>482</v>
      </c>
      <c r="G745">
        <v>484.5</v>
      </c>
      <c r="H745">
        <v>475</v>
      </c>
      <c r="I745">
        <v>4496868</v>
      </c>
      <c r="J745">
        <v>2122818536.1500001</v>
      </c>
      <c r="K745" s="13">
        <v>43994</v>
      </c>
      <c r="L745">
        <v>74350</v>
      </c>
      <c r="M745" t="s">
        <v>1315</v>
      </c>
    </row>
    <row r="746" spans="1:13" x14ac:dyDescent="0.35">
      <c r="A746" t="s">
        <v>1316</v>
      </c>
      <c r="B746" t="s">
        <v>18</v>
      </c>
      <c r="C746">
        <v>140</v>
      </c>
      <c r="D746">
        <v>145.55000000000001</v>
      </c>
      <c r="E746">
        <v>133.05000000000001</v>
      </c>
      <c r="F746">
        <v>144.1</v>
      </c>
      <c r="G746">
        <v>143.19999999999999</v>
      </c>
      <c r="H746">
        <v>144.94999999999999</v>
      </c>
      <c r="I746">
        <v>26080</v>
      </c>
      <c r="J746">
        <v>3684243.95</v>
      </c>
      <c r="K746" s="13">
        <v>43994</v>
      </c>
      <c r="L746">
        <v>754</v>
      </c>
      <c r="M746" t="s">
        <v>1317</v>
      </c>
    </row>
    <row r="747" spans="1:13" x14ac:dyDescent="0.35">
      <c r="A747" t="s">
        <v>3599</v>
      </c>
      <c r="B747" t="s">
        <v>3430</v>
      </c>
      <c r="C747">
        <v>1268.99</v>
      </c>
      <c r="D747">
        <v>1268.99</v>
      </c>
      <c r="E747">
        <v>1168</v>
      </c>
      <c r="F747">
        <v>1168</v>
      </c>
      <c r="G747">
        <v>1168</v>
      </c>
      <c r="H747">
        <v>1145</v>
      </c>
      <c r="I747">
        <v>1012</v>
      </c>
      <c r="J747">
        <v>1186635.8799999999</v>
      </c>
      <c r="K747" s="13">
        <v>43994</v>
      </c>
      <c r="L747">
        <v>14</v>
      </c>
      <c r="M747" t="s">
        <v>3600</v>
      </c>
    </row>
    <row r="748" spans="1:13" x14ac:dyDescent="0.35">
      <c r="A748" t="s">
        <v>3599</v>
      </c>
      <c r="B748" t="s">
        <v>3512</v>
      </c>
      <c r="C748">
        <v>1417</v>
      </c>
      <c r="D748">
        <v>1424.65</v>
      </c>
      <c r="E748">
        <v>1417</v>
      </c>
      <c r="F748">
        <v>1424.65</v>
      </c>
      <c r="G748">
        <v>1424.65</v>
      </c>
      <c r="H748">
        <v>1410</v>
      </c>
      <c r="I748">
        <v>204</v>
      </c>
      <c r="J748">
        <v>289855.95</v>
      </c>
      <c r="K748" s="13">
        <v>43994</v>
      </c>
      <c r="L748">
        <v>6</v>
      </c>
      <c r="M748" t="s">
        <v>3601</v>
      </c>
    </row>
    <row r="749" spans="1:13" x14ac:dyDescent="0.35">
      <c r="A749" t="s">
        <v>1318</v>
      </c>
      <c r="B749" t="s">
        <v>18</v>
      </c>
      <c r="C749">
        <v>63</v>
      </c>
      <c r="D749">
        <v>68.8</v>
      </c>
      <c r="E749">
        <v>62.65</v>
      </c>
      <c r="F749">
        <v>67.7</v>
      </c>
      <c r="G749">
        <v>67.75</v>
      </c>
      <c r="H749">
        <v>67.55</v>
      </c>
      <c r="I749">
        <v>716948</v>
      </c>
      <c r="J749">
        <v>47301083</v>
      </c>
      <c r="K749" s="13">
        <v>43994</v>
      </c>
      <c r="L749">
        <v>4669</v>
      </c>
      <c r="M749" t="s">
        <v>1319</v>
      </c>
    </row>
    <row r="750" spans="1:13" x14ac:dyDescent="0.35">
      <c r="A750" t="s">
        <v>3602</v>
      </c>
      <c r="B750" t="s">
        <v>3481</v>
      </c>
      <c r="C750">
        <v>1113.7</v>
      </c>
      <c r="D750">
        <v>1113.7</v>
      </c>
      <c r="E750">
        <v>1113.7</v>
      </c>
      <c r="F750">
        <v>1113.7</v>
      </c>
      <c r="G750">
        <v>1113.7</v>
      </c>
      <c r="H750">
        <v>1112.8499999999999</v>
      </c>
      <c r="I750">
        <v>46</v>
      </c>
      <c r="J750">
        <v>51230.2</v>
      </c>
      <c r="K750" s="13">
        <v>43994</v>
      </c>
      <c r="L750">
        <v>1</v>
      </c>
      <c r="M750" t="s">
        <v>3603</v>
      </c>
    </row>
    <row r="751" spans="1:13" x14ac:dyDescent="0.35">
      <c r="A751" t="s">
        <v>3602</v>
      </c>
      <c r="B751" t="s">
        <v>3483</v>
      </c>
      <c r="C751">
        <v>994</v>
      </c>
      <c r="D751">
        <v>994</v>
      </c>
      <c r="E751">
        <v>988</v>
      </c>
      <c r="F751">
        <v>994</v>
      </c>
      <c r="G751">
        <v>994</v>
      </c>
      <c r="H751">
        <v>995</v>
      </c>
      <c r="I751">
        <v>1784</v>
      </c>
      <c r="J751">
        <v>1770451</v>
      </c>
      <c r="K751" s="13">
        <v>43994</v>
      </c>
      <c r="L751">
        <v>23</v>
      </c>
      <c r="M751" t="s">
        <v>3604</v>
      </c>
    </row>
    <row r="752" spans="1:13" x14ac:dyDescent="0.35">
      <c r="A752" t="s">
        <v>3602</v>
      </c>
      <c r="B752" t="s">
        <v>3485</v>
      </c>
      <c r="C752">
        <v>1012</v>
      </c>
      <c r="D752">
        <v>1024.9000000000001</v>
      </c>
      <c r="E752">
        <v>882.4</v>
      </c>
      <c r="F752">
        <v>1024.9000000000001</v>
      </c>
      <c r="G752">
        <v>1024.9000000000001</v>
      </c>
      <c r="H752">
        <v>1024.5999999999999</v>
      </c>
      <c r="I752">
        <v>947</v>
      </c>
      <c r="J752">
        <v>961003.15</v>
      </c>
      <c r="K752" s="13">
        <v>43994</v>
      </c>
      <c r="L752">
        <v>37</v>
      </c>
      <c r="M752" t="s">
        <v>3605</v>
      </c>
    </row>
    <row r="753" spans="1:13" x14ac:dyDescent="0.35">
      <c r="A753" t="s">
        <v>3602</v>
      </c>
      <c r="B753" t="s">
        <v>3488</v>
      </c>
      <c r="C753">
        <v>959.9</v>
      </c>
      <c r="D753">
        <v>960</v>
      </c>
      <c r="E753">
        <v>959.9</v>
      </c>
      <c r="F753">
        <v>960</v>
      </c>
      <c r="G753">
        <v>960</v>
      </c>
      <c r="H753">
        <v>959.9</v>
      </c>
      <c r="I753">
        <v>41</v>
      </c>
      <c r="J753">
        <v>39357.300000000003</v>
      </c>
      <c r="K753" s="13">
        <v>43994</v>
      </c>
      <c r="L753">
        <v>4</v>
      </c>
      <c r="M753" t="s">
        <v>3606</v>
      </c>
    </row>
    <row r="754" spans="1:13" x14ac:dyDescent="0.35">
      <c r="A754" t="s">
        <v>3602</v>
      </c>
      <c r="B754" t="s">
        <v>3490</v>
      </c>
      <c r="C754">
        <v>1065.01</v>
      </c>
      <c r="D754">
        <v>1074.9000000000001</v>
      </c>
      <c r="E754">
        <v>1065.01</v>
      </c>
      <c r="F754">
        <v>1073.5</v>
      </c>
      <c r="G754">
        <v>1073.5</v>
      </c>
      <c r="H754">
        <v>1074</v>
      </c>
      <c r="I754">
        <v>125</v>
      </c>
      <c r="J754">
        <v>133998.54999999999</v>
      </c>
      <c r="K754" s="13">
        <v>43994</v>
      </c>
      <c r="L754">
        <v>10</v>
      </c>
      <c r="M754" t="s">
        <v>3607</v>
      </c>
    </row>
    <row r="755" spans="1:13" x14ac:dyDescent="0.35">
      <c r="A755" t="s">
        <v>3602</v>
      </c>
      <c r="B755" t="s">
        <v>3608</v>
      </c>
      <c r="C755">
        <v>1059.0999999999999</v>
      </c>
      <c r="D755">
        <v>1059.0999999999999</v>
      </c>
      <c r="E755">
        <v>1059.0999999999999</v>
      </c>
      <c r="F755">
        <v>1059.0999999999999</v>
      </c>
      <c r="G755">
        <v>1059.0999999999999</v>
      </c>
      <c r="H755">
        <v>1058</v>
      </c>
      <c r="I755">
        <v>2</v>
      </c>
      <c r="J755">
        <v>2118.1999999999998</v>
      </c>
      <c r="K755" s="13">
        <v>43994</v>
      </c>
      <c r="L755">
        <v>1</v>
      </c>
      <c r="M755" t="s">
        <v>3609</v>
      </c>
    </row>
    <row r="756" spans="1:13" x14ac:dyDescent="0.35">
      <c r="A756" t="s">
        <v>1320</v>
      </c>
      <c r="B756" t="s">
        <v>18</v>
      </c>
      <c r="C756">
        <v>32.700000000000003</v>
      </c>
      <c r="D756">
        <v>33.950000000000003</v>
      </c>
      <c r="E756">
        <v>32.700000000000003</v>
      </c>
      <c r="F756">
        <v>33.549999999999997</v>
      </c>
      <c r="G756">
        <v>33.5</v>
      </c>
      <c r="H756">
        <v>34.5</v>
      </c>
      <c r="I756">
        <v>731910</v>
      </c>
      <c r="J756">
        <v>24432109.149999999</v>
      </c>
      <c r="K756" s="13">
        <v>43994</v>
      </c>
      <c r="L756">
        <v>3539</v>
      </c>
      <c r="M756" t="s">
        <v>1321</v>
      </c>
    </row>
    <row r="757" spans="1:13" x14ac:dyDescent="0.35">
      <c r="A757" t="s">
        <v>1322</v>
      </c>
      <c r="B757" t="s">
        <v>18</v>
      </c>
      <c r="C757">
        <v>968.7</v>
      </c>
      <c r="D757">
        <v>983.1</v>
      </c>
      <c r="E757">
        <v>934.8</v>
      </c>
      <c r="F757">
        <v>967.45</v>
      </c>
      <c r="G757">
        <v>960</v>
      </c>
      <c r="H757">
        <v>972.1</v>
      </c>
      <c r="I757">
        <v>53646</v>
      </c>
      <c r="J757">
        <v>51495138.25</v>
      </c>
      <c r="K757" s="13">
        <v>43994</v>
      </c>
      <c r="L757">
        <v>589</v>
      </c>
      <c r="M757" t="s">
        <v>1323</v>
      </c>
    </row>
    <row r="758" spans="1:13" x14ac:dyDescent="0.35">
      <c r="A758" t="s">
        <v>1324</v>
      </c>
      <c r="B758" t="s">
        <v>18</v>
      </c>
      <c r="C758">
        <v>56.85</v>
      </c>
      <c r="D758">
        <v>61</v>
      </c>
      <c r="E758">
        <v>56.8</v>
      </c>
      <c r="F758">
        <v>59.15</v>
      </c>
      <c r="G758">
        <v>56.8</v>
      </c>
      <c r="H758">
        <v>59.75</v>
      </c>
      <c r="I758">
        <v>433</v>
      </c>
      <c r="J758">
        <v>25391.3</v>
      </c>
      <c r="K758" s="13">
        <v>43994</v>
      </c>
      <c r="L758">
        <v>9</v>
      </c>
      <c r="M758" t="s">
        <v>1325</v>
      </c>
    </row>
    <row r="759" spans="1:13" x14ac:dyDescent="0.35">
      <c r="A759" t="s">
        <v>3610</v>
      </c>
      <c r="B759" t="s">
        <v>3414</v>
      </c>
      <c r="C759">
        <v>2.95</v>
      </c>
      <c r="D759">
        <v>2.95</v>
      </c>
      <c r="E759">
        <v>2.95</v>
      </c>
      <c r="F759">
        <v>2.95</v>
      </c>
      <c r="G759">
        <v>2.95</v>
      </c>
      <c r="H759">
        <v>2.85</v>
      </c>
      <c r="I759">
        <v>21799</v>
      </c>
      <c r="J759">
        <v>64307.05</v>
      </c>
      <c r="K759" s="13">
        <v>43994</v>
      </c>
      <c r="L759">
        <v>29</v>
      </c>
      <c r="M759" t="s">
        <v>3611</v>
      </c>
    </row>
    <row r="760" spans="1:13" x14ac:dyDescent="0.35">
      <c r="A760" t="s">
        <v>3612</v>
      </c>
      <c r="B760" t="s">
        <v>3414</v>
      </c>
      <c r="C760">
        <v>0.9</v>
      </c>
      <c r="D760">
        <v>0.95</v>
      </c>
      <c r="E760">
        <v>0.85</v>
      </c>
      <c r="F760">
        <v>0.95</v>
      </c>
      <c r="G760">
        <v>0.95</v>
      </c>
      <c r="H760">
        <v>0.9</v>
      </c>
      <c r="I760">
        <v>2119306</v>
      </c>
      <c r="J760">
        <v>1886614.15</v>
      </c>
      <c r="K760" s="13">
        <v>43994</v>
      </c>
      <c r="L760">
        <v>289</v>
      </c>
      <c r="M760" t="s">
        <v>3613</v>
      </c>
    </row>
    <row r="761" spans="1:13" x14ac:dyDescent="0.35">
      <c r="A761" t="s">
        <v>1326</v>
      </c>
      <c r="B761" t="s">
        <v>18</v>
      </c>
      <c r="C761">
        <v>3.85</v>
      </c>
      <c r="D761">
        <v>4</v>
      </c>
      <c r="E761">
        <v>3.8</v>
      </c>
      <c r="F761">
        <v>4</v>
      </c>
      <c r="G761">
        <v>4</v>
      </c>
      <c r="H761">
        <v>4.1500000000000004</v>
      </c>
      <c r="I761">
        <v>120699</v>
      </c>
      <c r="J761">
        <v>474007.6</v>
      </c>
      <c r="K761" s="13">
        <v>43994</v>
      </c>
      <c r="L761">
        <v>243</v>
      </c>
      <c r="M761" t="s">
        <v>1327</v>
      </c>
    </row>
    <row r="762" spans="1:13" x14ac:dyDescent="0.35">
      <c r="A762" t="s">
        <v>1328</v>
      </c>
      <c r="B762" t="s">
        <v>18</v>
      </c>
      <c r="C762">
        <v>148</v>
      </c>
      <c r="D762">
        <v>154.4</v>
      </c>
      <c r="E762">
        <v>144.1</v>
      </c>
      <c r="F762">
        <v>150.69999999999999</v>
      </c>
      <c r="G762">
        <v>151</v>
      </c>
      <c r="H762">
        <v>152.1</v>
      </c>
      <c r="I762">
        <v>5355</v>
      </c>
      <c r="J762">
        <v>803589.25</v>
      </c>
      <c r="K762" s="13">
        <v>43994</v>
      </c>
      <c r="L762">
        <v>164</v>
      </c>
      <c r="M762" t="s">
        <v>1329</v>
      </c>
    </row>
    <row r="763" spans="1:13" x14ac:dyDescent="0.35">
      <c r="A763" t="s">
        <v>1330</v>
      </c>
      <c r="B763" t="s">
        <v>18</v>
      </c>
      <c r="C763">
        <v>487.05</v>
      </c>
      <c r="D763">
        <v>502</v>
      </c>
      <c r="E763">
        <v>487.05</v>
      </c>
      <c r="F763">
        <v>501.05</v>
      </c>
      <c r="G763">
        <v>502</v>
      </c>
      <c r="H763">
        <v>501.95</v>
      </c>
      <c r="I763">
        <v>615</v>
      </c>
      <c r="J763">
        <v>305571.34999999998</v>
      </c>
      <c r="K763" s="13">
        <v>43994</v>
      </c>
      <c r="L763">
        <v>56</v>
      </c>
      <c r="M763" t="s">
        <v>1331</v>
      </c>
    </row>
    <row r="764" spans="1:13" x14ac:dyDescent="0.35">
      <c r="A764" t="s">
        <v>3614</v>
      </c>
      <c r="B764" t="s">
        <v>3391</v>
      </c>
      <c r="C764">
        <v>0.5</v>
      </c>
      <c r="D764">
        <v>0.5</v>
      </c>
      <c r="E764">
        <v>0.5</v>
      </c>
      <c r="F764">
        <v>0.5</v>
      </c>
      <c r="G764">
        <v>0.5</v>
      </c>
      <c r="H764">
        <v>0.5</v>
      </c>
      <c r="I764">
        <v>7500</v>
      </c>
      <c r="J764">
        <v>3750</v>
      </c>
      <c r="K764" s="13">
        <v>43994</v>
      </c>
      <c r="L764">
        <v>8</v>
      </c>
      <c r="M764" t="s">
        <v>3615</v>
      </c>
    </row>
    <row r="765" spans="1:13" x14ac:dyDescent="0.35">
      <c r="A765" t="s">
        <v>1332</v>
      </c>
      <c r="B765" t="s">
        <v>18</v>
      </c>
      <c r="C765">
        <v>6.9</v>
      </c>
      <c r="D765">
        <v>8.1</v>
      </c>
      <c r="E765">
        <v>6.7</v>
      </c>
      <c r="F765">
        <v>7.3</v>
      </c>
      <c r="G765">
        <v>7.25</v>
      </c>
      <c r="H765">
        <v>7.4</v>
      </c>
      <c r="I765">
        <v>158502</v>
      </c>
      <c r="J765">
        <v>1145245.05</v>
      </c>
      <c r="K765" s="13">
        <v>43994</v>
      </c>
      <c r="L765">
        <v>507</v>
      </c>
      <c r="M765" t="s">
        <v>1333</v>
      </c>
    </row>
    <row r="766" spans="1:13" x14ac:dyDescent="0.35">
      <c r="A766" t="s">
        <v>1334</v>
      </c>
      <c r="B766" t="s">
        <v>18</v>
      </c>
      <c r="C766">
        <v>85</v>
      </c>
      <c r="D766">
        <v>89.5</v>
      </c>
      <c r="E766">
        <v>85</v>
      </c>
      <c r="F766">
        <v>88.8</v>
      </c>
      <c r="G766">
        <v>88.8</v>
      </c>
      <c r="H766">
        <v>90.9</v>
      </c>
      <c r="I766">
        <v>1796769</v>
      </c>
      <c r="J766">
        <v>157987553.44999999</v>
      </c>
      <c r="K766" s="13">
        <v>43994</v>
      </c>
      <c r="L766">
        <v>10761</v>
      </c>
      <c r="M766" t="s">
        <v>1335</v>
      </c>
    </row>
    <row r="767" spans="1:13" x14ac:dyDescent="0.35">
      <c r="A767" t="s">
        <v>1336</v>
      </c>
      <c r="B767" t="s">
        <v>18</v>
      </c>
      <c r="C767">
        <v>123</v>
      </c>
      <c r="D767">
        <v>130</v>
      </c>
      <c r="E767">
        <v>122.05</v>
      </c>
      <c r="F767">
        <v>129.25</v>
      </c>
      <c r="G767">
        <v>130</v>
      </c>
      <c r="H767">
        <v>126.85</v>
      </c>
      <c r="I767">
        <v>2398547</v>
      </c>
      <c r="J767">
        <v>304083556</v>
      </c>
      <c r="K767" s="13">
        <v>43994</v>
      </c>
      <c r="L767">
        <v>18697</v>
      </c>
      <c r="M767" t="s">
        <v>1337</v>
      </c>
    </row>
    <row r="768" spans="1:13" x14ac:dyDescent="0.35">
      <c r="A768" t="s">
        <v>1338</v>
      </c>
      <c r="B768" t="s">
        <v>18</v>
      </c>
      <c r="C768">
        <v>282.60000000000002</v>
      </c>
      <c r="D768">
        <v>294.89999999999998</v>
      </c>
      <c r="E768">
        <v>282</v>
      </c>
      <c r="F768">
        <v>291.39999999999998</v>
      </c>
      <c r="G768">
        <v>291.5</v>
      </c>
      <c r="H768">
        <v>296</v>
      </c>
      <c r="I768">
        <v>174075</v>
      </c>
      <c r="J768">
        <v>50335878.700000003</v>
      </c>
      <c r="K768" s="13">
        <v>43994</v>
      </c>
      <c r="L768">
        <v>5330</v>
      </c>
      <c r="M768" t="s">
        <v>1339</v>
      </c>
    </row>
    <row r="769" spans="1:13" x14ac:dyDescent="0.35">
      <c r="A769" t="s">
        <v>1340</v>
      </c>
      <c r="B769" t="s">
        <v>18</v>
      </c>
      <c r="C769">
        <v>2160</v>
      </c>
      <c r="D769">
        <v>2305</v>
      </c>
      <c r="E769">
        <v>2160</v>
      </c>
      <c r="F769">
        <v>2274.8000000000002</v>
      </c>
      <c r="G769">
        <v>2276</v>
      </c>
      <c r="H769">
        <v>2274.25</v>
      </c>
      <c r="I769">
        <v>37180</v>
      </c>
      <c r="J769">
        <v>83473381.650000006</v>
      </c>
      <c r="K769" s="13">
        <v>43994</v>
      </c>
      <c r="L769">
        <v>5329</v>
      </c>
      <c r="M769" t="s">
        <v>1341</v>
      </c>
    </row>
    <row r="770" spans="1:13" x14ac:dyDescent="0.35">
      <c r="A770" t="s">
        <v>1342</v>
      </c>
      <c r="B770" t="s">
        <v>18</v>
      </c>
      <c r="C770">
        <v>51.9</v>
      </c>
      <c r="D770">
        <v>54.9</v>
      </c>
      <c r="E770">
        <v>51</v>
      </c>
      <c r="F770">
        <v>54.55</v>
      </c>
      <c r="G770">
        <v>54.3</v>
      </c>
      <c r="H770">
        <v>54.85</v>
      </c>
      <c r="I770">
        <v>3519775</v>
      </c>
      <c r="J770">
        <v>187922573.05000001</v>
      </c>
      <c r="K770" s="13">
        <v>43994</v>
      </c>
      <c r="L770">
        <v>12526</v>
      </c>
      <c r="M770" t="s">
        <v>1343</v>
      </c>
    </row>
    <row r="771" spans="1:13" x14ac:dyDescent="0.35">
      <c r="A771" t="s">
        <v>1344</v>
      </c>
      <c r="B771" t="s">
        <v>18</v>
      </c>
      <c r="C771">
        <v>86.7</v>
      </c>
      <c r="D771">
        <v>88.85</v>
      </c>
      <c r="E771">
        <v>83.6</v>
      </c>
      <c r="F771">
        <v>86.95</v>
      </c>
      <c r="G771">
        <v>86.95</v>
      </c>
      <c r="H771">
        <v>85.55</v>
      </c>
      <c r="I771">
        <v>2175</v>
      </c>
      <c r="J771">
        <v>186895.05</v>
      </c>
      <c r="K771" s="13">
        <v>43994</v>
      </c>
      <c r="L771">
        <v>177</v>
      </c>
      <c r="M771" t="s">
        <v>1345</v>
      </c>
    </row>
    <row r="772" spans="1:13" x14ac:dyDescent="0.35">
      <c r="A772" t="s">
        <v>1346</v>
      </c>
      <c r="B772" t="s">
        <v>18</v>
      </c>
      <c r="C772">
        <v>146</v>
      </c>
      <c r="D772">
        <v>150.75</v>
      </c>
      <c r="E772">
        <v>144.69999999999999</v>
      </c>
      <c r="F772">
        <v>149.75</v>
      </c>
      <c r="G772">
        <v>150.69999999999999</v>
      </c>
      <c r="H772">
        <v>150.75</v>
      </c>
      <c r="I772">
        <v>40764</v>
      </c>
      <c r="J772">
        <v>6040164.1500000004</v>
      </c>
      <c r="K772" s="13">
        <v>43994</v>
      </c>
      <c r="L772">
        <v>1044</v>
      </c>
      <c r="M772" t="s">
        <v>1347</v>
      </c>
    </row>
    <row r="773" spans="1:13" x14ac:dyDescent="0.35">
      <c r="A773" t="s">
        <v>1348</v>
      </c>
      <c r="B773" t="s">
        <v>18</v>
      </c>
      <c r="C773">
        <v>956</v>
      </c>
      <c r="D773">
        <v>1014.25</v>
      </c>
      <c r="E773">
        <v>950.5</v>
      </c>
      <c r="F773">
        <v>1003.35</v>
      </c>
      <c r="G773">
        <v>1001.3</v>
      </c>
      <c r="H773">
        <v>1005.65</v>
      </c>
      <c r="I773">
        <v>3118458</v>
      </c>
      <c r="J773">
        <v>3101950944.9499998</v>
      </c>
      <c r="K773" s="13">
        <v>43994</v>
      </c>
      <c r="L773">
        <v>106102</v>
      </c>
      <c r="M773" t="s">
        <v>1349</v>
      </c>
    </row>
    <row r="774" spans="1:13" x14ac:dyDescent="0.35">
      <c r="A774" t="s">
        <v>3616</v>
      </c>
      <c r="B774" t="s">
        <v>3617</v>
      </c>
      <c r="C774">
        <v>100</v>
      </c>
      <c r="D774">
        <v>100</v>
      </c>
      <c r="E774">
        <v>99.5</v>
      </c>
      <c r="F774">
        <v>100</v>
      </c>
      <c r="G774">
        <v>100</v>
      </c>
      <c r="H774">
        <v>100</v>
      </c>
      <c r="I774">
        <v>81648</v>
      </c>
      <c r="J774">
        <v>8158030.0199999996</v>
      </c>
      <c r="K774" s="13">
        <v>43994</v>
      </c>
      <c r="L774">
        <v>39</v>
      </c>
      <c r="M774" t="s">
        <v>3618</v>
      </c>
    </row>
    <row r="775" spans="1:13" x14ac:dyDescent="0.35">
      <c r="A775" t="s">
        <v>3619</v>
      </c>
      <c r="B775" t="s">
        <v>3391</v>
      </c>
      <c r="C775">
        <v>15.75</v>
      </c>
      <c r="D775">
        <v>15.75</v>
      </c>
      <c r="E775">
        <v>15.7</v>
      </c>
      <c r="F775">
        <v>15.7</v>
      </c>
      <c r="G775">
        <v>15.7</v>
      </c>
      <c r="H775">
        <v>15.15</v>
      </c>
      <c r="I775">
        <v>201</v>
      </c>
      <c r="J775">
        <v>3155.75</v>
      </c>
      <c r="K775" s="13">
        <v>43994</v>
      </c>
      <c r="L775">
        <v>2</v>
      </c>
      <c r="M775" t="s">
        <v>3620</v>
      </c>
    </row>
    <row r="776" spans="1:13" x14ac:dyDescent="0.35">
      <c r="A776" t="s">
        <v>1350</v>
      </c>
      <c r="B776" t="s">
        <v>18</v>
      </c>
      <c r="C776">
        <v>265.05</v>
      </c>
      <c r="D776">
        <v>280.75</v>
      </c>
      <c r="E776">
        <v>258</v>
      </c>
      <c r="F776">
        <v>271.3</v>
      </c>
      <c r="G776">
        <v>273</v>
      </c>
      <c r="H776">
        <v>268</v>
      </c>
      <c r="I776">
        <v>14654</v>
      </c>
      <c r="J776">
        <v>3933872.35</v>
      </c>
      <c r="K776" s="13">
        <v>43994</v>
      </c>
      <c r="L776">
        <v>863</v>
      </c>
      <c r="M776" t="s">
        <v>1351</v>
      </c>
    </row>
    <row r="777" spans="1:13" x14ac:dyDescent="0.35">
      <c r="A777" t="s">
        <v>1352</v>
      </c>
      <c r="B777" t="s">
        <v>18</v>
      </c>
      <c r="C777">
        <v>208.2</v>
      </c>
      <c r="D777">
        <v>217.8</v>
      </c>
      <c r="E777">
        <v>208.2</v>
      </c>
      <c r="F777">
        <v>213.65</v>
      </c>
      <c r="G777">
        <v>216</v>
      </c>
      <c r="H777">
        <v>216.75</v>
      </c>
      <c r="I777">
        <v>40401</v>
      </c>
      <c r="J777">
        <v>8557250.5500000007</v>
      </c>
      <c r="K777" s="13">
        <v>43994</v>
      </c>
      <c r="L777">
        <v>1331</v>
      </c>
      <c r="M777" t="s">
        <v>1353</v>
      </c>
    </row>
    <row r="778" spans="1:13" x14ac:dyDescent="0.35">
      <c r="A778" t="s">
        <v>1354</v>
      </c>
      <c r="B778" t="s">
        <v>18</v>
      </c>
      <c r="C778">
        <v>14.3</v>
      </c>
      <c r="D778">
        <v>15.5</v>
      </c>
      <c r="E778">
        <v>14</v>
      </c>
      <c r="F778">
        <v>14.7</v>
      </c>
      <c r="G778">
        <v>14.7</v>
      </c>
      <c r="H778">
        <v>14.45</v>
      </c>
      <c r="I778">
        <v>19973</v>
      </c>
      <c r="J778">
        <v>287649.5</v>
      </c>
      <c r="K778" s="13">
        <v>43994</v>
      </c>
      <c r="L778">
        <v>134</v>
      </c>
      <c r="M778" t="s">
        <v>1355</v>
      </c>
    </row>
    <row r="779" spans="1:13" x14ac:dyDescent="0.35">
      <c r="A779" t="s">
        <v>3621</v>
      </c>
      <c r="B779" t="s">
        <v>3414</v>
      </c>
      <c r="C779">
        <v>1.1499999999999999</v>
      </c>
      <c r="D779">
        <v>1.1499999999999999</v>
      </c>
      <c r="E779">
        <v>1.05</v>
      </c>
      <c r="F779">
        <v>1.1499999999999999</v>
      </c>
      <c r="G779">
        <v>1.1499999999999999</v>
      </c>
      <c r="H779">
        <v>1.1000000000000001</v>
      </c>
      <c r="I779">
        <v>584350</v>
      </c>
      <c r="J779">
        <v>655406.35</v>
      </c>
      <c r="K779" s="13">
        <v>43994</v>
      </c>
      <c r="L779">
        <v>439</v>
      </c>
      <c r="M779" t="s">
        <v>3622</v>
      </c>
    </row>
    <row r="780" spans="1:13" x14ac:dyDescent="0.35">
      <c r="A780" t="s">
        <v>1356</v>
      </c>
      <c r="B780" t="s">
        <v>18</v>
      </c>
      <c r="C780">
        <v>285</v>
      </c>
      <c r="D780">
        <v>286.05</v>
      </c>
      <c r="E780">
        <v>284.05</v>
      </c>
      <c r="F780">
        <v>285.35000000000002</v>
      </c>
      <c r="G780">
        <v>285.3</v>
      </c>
      <c r="H780">
        <v>285.2</v>
      </c>
      <c r="I780">
        <v>120285</v>
      </c>
      <c r="J780">
        <v>34306851.149999999</v>
      </c>
      <c r="K780" s="13">
        <v>43994</v>
      </c>
      <c r="L780">
        <v>672</v>
      </c>
      <c r="M780" t="s">
        <v>1357</v>
      </c>
    </row>
    <row r="781" spans="1:13" x14ac:dyDescent="0.35">
      <c r="A781" t="s">
        <v>1358</v>
      </c>
      <c r="B781" t="s">
        <v>18</v>
      </c>
      <c r="C781">
        <v>93.6</v>
      </c>
      <c r="D781">
        <v>99.4</v>
      </c>
      <c r="E781">
        <v>93.5</v>
      </c>
      <c r="F781">
        <v>97.25</v>
      </c>
      <c r="G781">
        <v>98.75</v>
      </c>
      <c r="H781">
        <v>103.85</v>
      </c>
      <c r="I781">
        <v>22748</v>
      </c>
      <c r="J781">
        <v>2178435.7999999998</v>
      </c>
      <c r="K781" s="13">
        <v>43994</v>
      </c>
      <c r="L781">
        <v>462</v>
      </c>
      <c r="M781" t="s">
        <v>1359</v>
      </c>
    </row>
    <row r="782" spans="1:13" x14ac:dyDescent="0.35">
      <c r="A782" t="s">
        <v>3623</v>
      </c>
      <c r="B782" t="s">
        <v>3391</v>
      </c>
      <c r="C782">
        <v>18.25</v>
      </c>
      <c r="D782">
        <v>20.149999999999999</v>
      </c>
      <c r="E782">
        <v>18.25</v>
      </c>
      <c r="F782">
        <v>20</v>
      </c>
      <c r="G782">
        <v>20.149999999999999</v>
      </c>
      <c r="H782">
        <v>19.2</v>
      </c>
      <c r="I782">
        <v>18872</v>
      </c>
      <c r="J782">
        <v>366858.75</v>
      </c>
      <c r="K782" s="13">
        <v>43994</v>
      </c>
      <c r="L782">
        <v>113</v>
      </c>
      <c r="M782" t="s">
        <v>3624</v>
      </c>
    </row>
    <row r="783" spans="1:13" x14ac:dyDescent="0.35">
      <c r="A783" t="s">
        <v>3625</v>
      </c>
      <c r="B783" t="s">
        <v>3391</v>
      </c>
      <c r="C783">
        <v>3.2</v>
      </c>
      <c r="D783">
        <v>3.35</v>
      </c>
      <c r="E783">
        <v>3.15</v>
      </c>
      <c r="F783">
        <v>3.3</v>
      </c>
      <c r="G783">
        <v>3.3</v>
      </c>
      <c r="H783">
        <v>3.3</v>
      </c>
      <c r="I783">
        <v>63838</v>
      </c>
      <c r="J783">
        <v>207570.8</v>
      </c>
      <c r="K783" s="13">
        <v>43994</v>
      </c>
      <c r="L783">
        <v>117</v>
      </c>
      <c r="M783" t="s">
        <v>3626</v>
      </c>
    </row>
    <row r="784" spans="1:13" x14ac:dyDescent="0.35">
      <c r="A784" t="s">
        <v>1360</v>
      </c>
      <c r="B784" t="s">
        <v>18</v>
      </c>
      <c r="C784">
        <v>38.9</v>
      </c>
      <c r="D784">
        <v>39.799999999999997</v>
      </c>
      <c r="E784">
        <v>38.450000000000003</v>
      </c>
      <c r="F784">
        <v>39.549999999999997</v>
      </c>
      <c r="G784">
        <v>39.450000000000003</v>
      </c>
      <c r="H784">
        <v>39.75</v>
      </c>
      <c r="I784">
        <v>104217</v>
      </c>
      <c r="J784">
        <v>4074215.4</v>
      </c>
      <c r="K784" s="13">
        <v>43994</v>
      </c>
      <c r="L784">
        <v>883</v>
      </c>
      <c r="M784" t="s">
        <v>1361</v>
      </c>
    </row>
    <row r="785" spans="1:13" x14ac:dyDescent="0.35">
      <c r="A785" t="s">
        <v>1362</v>
      </c>
      <c r="B785" t="s">
        <v>18</v>
      </c>
      <c r="C785">
        <v>30</v>
      </c>
      <c r="D785">
        <v>30.9</v>
      </c>
      <c r="E785">
        <v>28.55</v>
      </c>
      <c r="F785">
        <v>30.1</v>
      </c>
      <c r="G785">
        <v>30.1</v>
      </c>
      <c r="H785">
        <v>31.05</v>
      </c>
      <c r="I785">
        <v>25605</v>
      </c>
      <c r="J785">
        <v>773307.95</v>
      </c>
      <c r="K785" s="13">
        <v>43994</v>
      </c>
      <c r="L785">
        <v>320</v>
      </c>
      <c r="M785" t="s">
        <v>1363</v>
      </c>
    </row>
    <row r="786" spans="1:13" x14ac:dyDescent="0.35">
      <c r="A786" t="s">
        <v>1364</v>
      </c>
      <c r="B786" t="s">
        <v>18</v>
      </c>
      <c r="C786">
        <v>2.7</v>
      </c>
      <c r="D786">
        <v>2.7</v>
      </c>
      <c r="E786">
        <v>2.5</v>
      </c>
      <c r="F786">
        <v>2.7</v>
      </c>
      <c r="G786">
        <v>2.7</v>
      </c>
      <c r="H786">
        <v>2.6</v>
      </c>
      <c r="I786">
        <v>63611</v>
      </c>
      <c r="J786">
        <v>166002.20000000001</v>
      </c>
      <c r="K786" s="13">
        <v>43994</v>
      </c>
      <c r="L786">
        <v>84</v>
      </c>
      <c r="M786" t="s">
        <v>1365</v>
      </c>
    </row>
    <row r="787" spans="1:13" x14ac:dyDescent="0.35">
      <c r="A787" t="s">
        <v>1366</v>
      </c>
      <c r="B787" t="s">
        <v>18</v>
      </c>
      <c r="C787">
        <v>28.3</v>
      </c>
      <c r="D787">
        <v>31.05</v>
      </c>
      <c r="E787">
        <v>28.3</v>
      </c>
      <c r="F787">
        <v>30.65</v>
      </c>
      <c r="G787">
        <v>30.5</v>
      </c>
      <c r="H787">
        <v>30.45</v>
      </c>
      <c r="I787">
        <v>260292</v>
      </c>
      <c r="J787">
        <v>7782201.5</v>
      </c>
      <c r="K787" s="13">
        <v>43994</v>
      </c>
      <c r="L787">
        <v>1047</v>
      </c>
      <c r="M787" t="s">
        <v>1367</v>
      </c>
    </row>
    <row r="788" spans="1:13" x14ac:dyDescent="0.35">
      <c r="A788" t="s">
        <v>1368</v>
      </c>
      <c r="B788" t="s">
        <v>18</v>
      </c>
      <c r="C788">
        <v>490</v>
      </c>
      <c r="D788">
        <v>534.70000000000005</v>
      </c>
      <c r="E788">
        <v>483.3</v>
      </c>
      <c r="F788">
        <v>528.45000000000005</v>
      </c>
      <c r="G788">
        <v>527</v>
      </c>
      <c r="H788">
        <v>523.15</v>
      </c>
      <c r="I788">
        <v>57432454</v>
      </c>
      <c r="J788">
        <v>29125887470</v>
      </c>
      <c r="K788" s="13">
        <v>43994</v>
      </c>
      <c r="L788">
        <v>631593</v>
      </c>
      <c r="M788" t="s">
        <v>1369</v>
      </c>
    </row>
    <row r="789" spans="1:13" x14ac:dyDescent="0.35">
      <c r="A789" t="s">
        <v>1370</v>
      </c>
      <c r="B789" t="s">
        <v>18</v>
      </c>
      <c r="C789">
        <v>627.70000000000005</v>
      </c>
      <c r="D789">
        <v>648.85</v>
      </c>
      <c r="E789">
        <v>625.45000000000005</v>
      </c>
      <c r="F789">
        <v>636.1</v>
      </c>
      <c r="G789">
        <v>636.5</v>
      </c>
      <c r="H789">
        <v>647.6</v>
      </c>
      <c r="I789">
        <v>1958</v>
      </c>
      <c r="J789">
        <v>1247671.8</v>
      </c>
      <c r="K789" s="13">
        <v>43994</v>
      </c>
      <c r="L789">
        <v>208</v>
      </c>
      <c r="M789" t="s">
        <v>1371</v>
      </c>
    </row>
    <row r="790" spans="1:13" x14ac:dyDescent="0.35">
      <c r="A790" t="s">
        <v>1372</v>
      </c>
      <c r="B790" t="s">
        <v>18</v>
      </c>
      <c r="C790">
        <v>51.1</v>
      </c>
      <c r="D790">
        <v>55.8</v>
      </c>
      <c r="E790">
        <v>51</v>
      </c>
      <c r="F790">
        <v>53.4</v>
      </c>
      <c r="G790">
        <v>53.05</v>
      </c>
      <c r="H790">
        <v>53.15</v>
      </c>
      <c r="I790">
        <v>1005888</v>
      </c>
      <c r="J790">
        <v>53883583.549999997</v>
      </c>
      <c r="K790" s="13">
        <v>43994</v>
      </c>
      <c r="L790">
        <v>4386</v>
      </c>
      <c r="M790" t="s">
        <v>1373</v>
      </c>
    </row>
    <row r="791" spans="1:13" x14ac:dyDescent="0.35">
      <c r="A791" t="s">
        <v>1374</v>
      </c>
      <c r="B791" t="s">
        <v>18</v>
      </c>
      <c r="C791">
        <v>100</v>
      </c>
      <c r="D791">
        <v>110.95</v>
      </c>
      <c r="E791">
        <v>100</v>
      </c>
      <c r="F791">
        <v>108.8</v>
      </c>
      <c r="G791">
        <v>110</v>
      </c>
      <c r="H791">
        <v>107.9</v>
      </c>
      <c r="I791">
        <v>15814</v>
      </c>
      <c r="J791">
        <v>1673578</v>
      </c>
      <c r="K791" s="13">
        <v>43994</v>
      </c>
      <c r="L791">
        <v>307</v>
      </c>
      <c r="M791" t="s">
        <v>1375</v>
      </c>
    </row>
    <row r="792" spans="1:13" x14ac:dyDescent="0.35">
      <c r="A792" t="s">
        <v>1376</v>
      </c>
      <c r="B792" t="s">
        <v>18</v>
      </c>
      <c r="C792">
        <v>295.7</v>
      </c>
      <c r="D792">
        <v>301.99</v>
      </c>
      <c r="E792">
        <v>285.33</v>
      </c>
      <c r="F792">
        <v>300.01</v>
      </c>
      <c r="G792">
        <v>301.99</v>
      </c>
      <c r="H792">
        <v>301.25</v>
      </c>
      <c r="I792">
        <v>612</v>
      </c>
      <c r="J792">
        <v>182123.38</v>
      </c>
      <c r="K792" s="13">
        <v>43994</v>
      </c>
      <c r="L792">
        <v>58</v>
      </c>
      <c r="M792" t="s">
        <v>1377</v>
      </c>
    </row>
    <row r="793" spans="1:13" x14ac:dyDescent="0.35">
      <c r="A793" t="s">
        <v>1378</v>
      </c>
      <c r="B793" t="s">
        <v>18</v>
      </c>
      <c r="C793">
        <v>206.75</v>
      </c>
      <c r="D793">
        <v>227</v>
      </c>
      <c r="E793">
        <v>200</v>
      </c>
      <c r="F793">
        <v>225</v>
      </c>
      <c r="G793">
        <v>224.4</v>
      </c>
      <c r="H793">
        <v>210.8</v>
      </c>
      <c r="I793">
        <v>26283926</v>
      </c>
      <c r="J793">
        <v>5747167538.0500002</v>
      </c>
      <c r="K793" s="13">
        <v>43994</v>
      </c>
      <c r="L793">
        <v>217976</v>
      </c>
      <c r="M793" t="s">
        <v>1379</v>
      </c>
    </row>
    <row r="794" spans="1:13" x14ac:dyDescent="0.35">
      <c r="A794" t="s">
        <v>47</v>
      </c>
      <c r="B794" t="s">
        <v>18</v>
      </c>
      <c r="C794">
        <v>675.8</v>
      </c>
      <c r="D794">
        <v>695.15</v>
      </c>
      <c r="E794">
        <v>675.5</v>
      </c>
      <c r="F794">
        <v>692.05</v>
      </c>
      <c r="G794">
        <v>691</v>
      </c>
      <c r="H794">
        <v>703.95</v>
      </c>
      <c r="I794">
        <v>9796064</v>
      </c>
      <c r="J794">
        <v>6723519557.8000002</v>
      </c>
      <c r="K794" s="13">
        <v>43994</v>
      </c>
      <c r="L794">
        <v>165667</v>
      </c>
      <c r="M794" t="s">
        <v>1380</v>
      </c>
    </row>
    <row r="795" spans="1:13" x14ac:dyDescent="0.35">
      <c r="A795" t="s">
        <v>1381</v>
      </c>
      <c r="B795" t="s">
        <v>18</v>
      </c>
      <c r="C795">
        <v>634.85</v>
      </c>
      <c r="D795">
        <v>638.5</v>
      </c>
      <c r="E795">
        <v>632.04999999999995</v>
      </c>
      <c r="F795">
        <v>634.95000000000005</v>
      </c>
      <c r="G795">
        <v>634.5</v>
      </c>
      <c r="H795">
        <v>634.9</v>
      </c>
      <c r="I795">
        <v>9013</v>
      </c>
      <c r="J795">
        <v>5719504.0999999996</v>
      </c>
      <c r="K795" s="13">
        <v>43994</v>
      </c>
      <c r="L795">
        <v>338</v>
      </c>
      <c r="M795" t="s">
        <v>1382</v>
      </c>
    </row>
    <row r="796" spans="1:13" x14ac:dyDescent="0.35">
      <c r="A796" t="s">
        <v>3627</v>
      </c>
      <c r="B796" t="s">
        <v>3381</v>
      </c>
      <c r="C796">
        <v>81.55</v>
      </c>
      <c r="D796">
        <v>81.55</v>
      </c>
      <c r="E796">
        <v>81.45</v>
      </c>
      <c r="F796">
        <v>81.45</v>
      </c>
      <c r="G796">
        <v>81.45</v>
      </c>
      <c r="H796">
        <v>79.099999999999994</v>
      </c>
      <c r="I796">
        <v>2000</v>
      </c>
      <c r="J796">
        <v>163000</v>
      </c>
      <c r="K796" s="13">
        <v>43994</v>
      </c>
      <c r="L796">
        <v>2</v>
      </c>
      <c r="M796" t="s">
        <v>3628</v>
      </c>
    </row>
    <row r="797" spans="1:13" x14ac:dyDescent="0.35">
      <c r="A797" t="s">
        <v>3629</v>
      </c>
      <c r="B797" t="s">
        <v>3381</v>
      </c>
      <c r="C797">
        <v>7.65</v>
      </c>
      <c r="D797">
        <v>7.65</v>
      </c>
      <c r="E797">
        <v>7.6</v>
      </c>
      <c r="F797">
        <v>7.6</v>
      </c>
      <c r="G797">
        <v>7.6</v>
      </c>
      <c r="H797">
        <v>7.65</v>
      </c>
      <c r="I797">
        <v>6000</v>
      </c>
      <c r="J797">
        <v>45750</v>
      </c>
      <c r="K797" s="13">
        <v>43994</v>
      </c>
      <c r="L797">
        <v>2</v>
      </c>
      <c r="M797" t="s">
        <v>3630</v>
      </c>
    </row>
    <row r="798" spans="1:13" x14ac:dyDescent="0.35">
      <c r="A798" t="s">
        <v>1383</v>
      </c>
      <c r="B798" t="s">
        <v>18</v>
      </c>
      <c r="C798">
        <v>224.05</v>
      </c>
      <c r="D798">
        <v>246.7</v>
      </c>
      <c r="E798">
        <v>223</v>
      </c>
      <c r="F798">
        <v>245.15</v>
      </c>
      <c r="G798">
        <v>245.25</v>
      </c>
      <c r="H798">
        <v>248.2</v>
      </c>
      <c r="I798">
        <v>787305</v>
      </c>
      <c r="J798">
        <v>188242567.59999999</v>
      </c>
      <c r="K798" s="13">
        <v>43994</v>
      </c>
      <c r="L798">
        <v>17342</v>
      </c>
      <c r="M798" t="s">
        <v>1384</v>
      </c>
    </row>
    <row r="799" spans="1:13" x14ac:dyDescent="0.35">
      <c r="A799" t="s">
        <v>1385</v>
      </c>
      <c r="B799" t="s">
        <v>18</v>
      </c>
      <c r="C799">
        <v>27.5</v>
      </c>
      <c r="D799">
        <v>30.5</v>
      </c>
      <c r="E799">
        <v>27.5</v>
      </c>
      <c r="F799">
        <v>29.75</v>
      </c>
      <c r="G799">
        <v>29.75</v>
      </c>
      <c r="H799">
        <v>30.05</v>
      </c>
      <c r="I799">
        <v>107758</v>
      </c>
      <c r="J799">
        <v>3180368.15</v>
      </c>
      <c r="K799" s="13">
        <v>43994</v>
      </c>
      <c r="L799">
        <v>966</v>
      </c>
      <c r="M799" t="s">
        <v>1386</v>
      </c>
    </row>
    <row r="800" spans="1:13" x14ac:dyDescent="0.35">
      <c r="A800" t="s">
        <v>1387</v>
      </c>
      <c r="B800" t="s">
        <v>18</v>
      </c>
      <c r="C800">
        <v>400</v>
      </c>
      <c r="D800">
        <v>419</v>
      </c>
      <c r="E800">
        <v>393.3</v>
      </c>
      <c r="F800">
        <v>415.95</v>
      </c>
      <c r="G800">
        <v>416.8</v>
      </c>
      <c r="H800">
        <v>405.95</v>
      </c>
      <c r="I800">
        <v>76483</v>
      </c>
      <c r="J800">
        <v>31440809.399999999</v>
      </c>
      <c r="K800" s="13">
        <v>43994</v>
      </c>
      <c r="L800">
        <v>2468</v>
      </c>
      <c r="M800" t="s">
        <v>1388</v>
      </c>
    </row>
    <row r="801" spans="1:13" x14ac:dyDescent="0.35">
      <c r="A801" t="s">
        <v>1389</v>
      </c>
      <c r="B801" t="s">
        <v>18</v>
      </c>
      <c r="C801">
        <v>26.9</v>
      </c>
      <c r="D801">
        <v>26.9</v>
      </c>
      <c r="E801">
        <v>23.55</v>
      </c>
      <c r="F801">
        <v>24.5</v>
      </c>
      <c r="G801">
        <v>24.95</v>
      </c>
      <c r="H801">
        <v>27.4</v>
      </c>
      <c r="I801">
        <v>60957</v>
      </c>
      <c r="J801">
        <v>1480228.5</v>
      </c>
      <c r="K801" s="13">
        <v>43994</v>
      </c>
      <c r="L801">
        <v>459</v>
      </c>
      <c r="M801" t="s">
        <v>1390</v>
      </c>
    </row>
    <row r="802" spans="1:13" x14ac:dyDescent="0.35">
      <c r="A802" t="s">
        <v>1391</v>
      </c>
      <c r="B802" t="s">
        <v>18</v>
      </c>
      <c r="C802">
        <v>81.900000000000006</v>
      </c>
      <c r="D802">
        <v>88.85</v>
      </c>
      <c r="E802">
        <v>81.900000000000006</v>
      </c>
      <c r="F802">
        <v>87.7</v>
      </c>
      <c r="G802">
        <v>87</v>
      </c>
      <c r="H802">
        <v>88.1</v>
      </c>
      <c r="I802">
        <v>93195</v>
      </c>
      <c r="J802">
        <v>7974090.0499999998</v>
      </c>
      <c r="K802" s="13">
        <v>43994</v>
      </c>
      <c r="L802">
        <v>1144</v>
      </c>
      <c r="M802" t="s">
        <v>1392</v>
      </c>
    </row>
    <row r="803" spans="1:13" x14ac:dyDescent="0.35">
      <c r="A803" t="s">
        <v>1393</v>
      </c>
      <c r="B803" t="s">
        <v>18</v>
      </c>
      <c r="C803">
        <v>22.5</v>
      </c>
      <c r="D803">
        <v>27.2</v>
      </c>
      <c r="E803">
        <v>20.100000000000001</v>
      </c>
      <c r="F803">
        <v>27.2</v>
      </c>
      <c r="G803">
        <v>27.2</v>
      </c>
      <c r="H803">
        <v>22.7</v>
      </c>
      <c r="I803">
        <v>290922</v>
      </c>
      <c r="J803">
        <v>7086886.5</v>
      </c>
      <c r="K803" s="13">
        <v>43994</v>
      </c>
      <c r="L803">
        <v>1667</v>
      </c>
      <c r="M803" t="s">
        <v>1394</v>
      </c>
    </row>
    <row r="804" spans="1:13" x14ac:dyDescent="0.35">
      <c r="A804" t="s">
        <v>1395</v>
      </c>
      <c r="B804" t="s">
        <v>18</v>
      </c>
      <c r="C804">
        <v>11.5</v>
      </c>
      <c r="D804">
        <v>12.2</v>
      </c>
      <c r="E804">
        <v>11.25</v>
      </c>
      <c r="F804">
        <v>12.2</v>
      </c>
      <c r="G804">
        <v>12.2</v>
      </c>
      <c r="H804">
        <v>11.8</v>
      </c>
      <c r="I804">
        <v>28402</v>
      </c>
      <c r="J804">
        <v>335346.95</v>
      </c>
      <c r="K804" s="13">
        <v>43994</v>
      </c>
      <c r="L804">
        <v>122</v>
      </c>
      <c r="M804" t="s">
        <v>1396</v>
      </c>
    </row>
    <row r="805" spans="1:13" x14ac:dyDescent="0.35">
      <c r="A805" t="s">
        <v>1397</v>
      </c>
      <c r="B805" t="s">
        <v>18</v>
      </c>
      <c r="C805">
        <v>9.4</v>
      </c>
      <c r="D805">
        <v>10.3</v>
      </c>
      <c r="E805">
        <v>9.25</v>
      </c>
      <c r="F805">
        <v>10.25</v>
      </c>
      <c r="G805">
        <v>10.199999999999999</v>
      </c>
      <c r="H805">
        <v>10</v>
      </c>
      <c r="I805">
        <v>3880023</v>
      </c>
      <c r="J805">
        <v>38330047.350000001</v>
      </c>
      <c r="K805" s="13">
        <v>43994</v>
      </c>
      <c r="L805">
        <v>7980</v>
      </c>
      <c r="M805" t="s">
        <v>1398</v>
      </c>
    </row>
    <row r="806" spans="1:13" x14ac:dyDescent="0.35">
      <c r="A806" t="s">
        <v>1399</v>
      </c>
      <c r="B806" t="s">
        <v>18</v>
      </c>
      <c r="C806">
        <v>85</v>
      </c>
      <c r="D806">
        <v>88.55</v>
      </c>
      <c r="E806">
        <v>85</v>
      </c>
      <c r="F806">
        <v>88.3</v>
      </c>
      <c r="G806">
        <v>88.35</v>
      </c>
      <c r="H806">
        <v>88.35</v>
      </c>
      <c r="I806">
        <v>21617576</v>
      </c>
      <c r="J806">
        <v>1886448133.2</v>
      </c>
      <c r="K806" s="13">
        <v>43994</v>
      </c>
      <c r="L806">
        <v>75833</v>
      </c>
      <c r="M806" t="s">
        <v>1400</v>
      </c>
    </row>
    <row r="807" spans="1:13" x14ac:dyDescent="0.35">
      <c r="A807" t="s">
        <v>1401</v>
      </c>
      <c r="B807" t="s">
        <v>18</v>
      </c>
      <c r="C807">
        <v>408</v>
      </c>
      <c r="D807">
        <v>417.9</v>
      </c>
      <c r="E807">
        <v>402.3</v>
      </c>
      <c r="F807">
        <v>409.75</v>
      </c>
      <c r="G807">
        <v>409.95</v>
      </c>
      <c r="H807">
        <v>409.95</v>
      </c>
      <c r="I807">
        <v>2126193</v>
      </c>
      <c r="J807">
        <v>874853957.95000005</v>
      </c>
      <c r="K807" s="13">
        <v>43994</v>
      </c>
      <c r="L807">
        <v>34121</v>
      </c>
      <c r="M807" t="s">
        <v>1402</v>
      </c>
    </row>
    <row r="808" spans="1:13" x14ac:dyDescent="0.35">
      <c r="A808" t="s">
        <v>1403</v>
      </c>
      <c r="B808" t="s">
        <v>18</v>
      </c>
      <c r="C808">
        <v>1529.25</v>
      </c>
      <c r="D808">
        <v>1584</v>
      </c>
      <c r="E808">
        <v>1512.3</v>
      </c>
      <c r="F808">
        <v>1579.9</v>
      </c>
      <c r="G808">
        <v>1573.25</v>
      </c>
      <c r="H808">
        <v>1560</v>
      </c>
      <c r="I808">
        <v>236102</v>
      </c>
      <c r="J808">
        <v>367878473.80000001</v>
      </c>
      <c r="K808" s="13">
        <v>43994</v>
      </c>
      <c r="L808">
        <v>16693</v>
      </c>
      <c r="M808" t="s">
        <v>1404</v>
      </c>
    </row>
    <row r="809" spans="1:13" x14ac:dyDescent="0.35">
      <c r="A809" t="s">
        <v>1405</v>
      </c>
      <c r="B809" t="s">
        <v>18</v>
      </c>
      <c r="C809">
        <v>62.2</v>
      </c>
      <c r="D809">
        <v>64.400000000000006</v>
      </c>
      <c r="E809">
        <v>62.2</v>
      </c>
      <c r="F809">
        <v>63.25</v>
      </c>
      <c r="G809">
        <v>63.1</v>
      </c>
      <c r="H809">
        <v>65.349999999999994</v>
      </c>
      <c r="I809">
        <v>1524056</v>
      </c>
      <c r="J809">
        <v>96515863</v>
      </c>
      <c r="K809" s="13">
        <v>43994</v>
      </c>
      <c r="L809">
        <v>7686</v>
      </c>
      <c r="M809" t="s">
        <v>1406</v>
      </c>
    </row>
    <row r="810" spans="1:13" x14ac:dyDescent="0.35">
      <c r="A810" t="s">
        <v>3631</v>
      </c>
      <c r="B810" t="s">
        <v>3617</v>
      </c>
      <c r="C810">
        <v>33.25</v>
      </c>
      <c r="D810">
        <v>33.46</v>
      </c>
      <c r="E810">
        <v>33.020000000000003</v>
      </c>
      <c r="F810">
        <v>33.229999999999997</v>
      </c>
      <c r="G810">
        <v>33.46</v>
      </c>
      <c r="H810">
        <v>33.299999999999997</v>
      </c>
      <c r="I810">
        <v>115000</v>
      </c>
      <c r="J810">
        <v>3811350</v>
      </c>
      <c r="K810" s="13">
        <v>43994</v>
      </c>
      <c r="L810">
        <v>45</v>
      </c>
      <c r="M810" t="s">
        <v>3632</v>
      </c>
    </row>
    <row r="811" spans="1:13" x14ac:dyDescent="0.35">
      <c r="A811" t="s">
        <v>1407</v>
      </c>
      <c r="B811" t="s">
        <v>18</v>
      </c>
      <c r="C811">
        <v>85</v>
      </c>
      <c r="D811">
        <v>87.35</v>
      </c>
      <c r="E811">
        <v>84.6</v>
      </c>
      <c r="F811">
        <v>86.55</v>
      </c>
      <c r="G811">
        <v>86.5</v>
      </c>
      <c r="H811">
        <v>87.55</v>
      </c>
      <c r="I811">
        <v>436486</v>
      </c>
      <c r="J811">
        <v>37584356.399999999</v>
      </c>
      <c r="K811" s="13">
        <v>43994</v>
      </c>
      <c r="L811">
        <v>4209</v>
      </c>
      <c r="M811" t="s">
        <v>1408</v>
      </c>
    </row>
    <row r="812" spans="1:13" x14ac:dyDescent="0.35">
      <c r="A812" t="s">
        <v>1409</v>
      </c>
      <c r="B812" t="s">
        <v>18</v>
      </c>
      <c r="C812">
        <v>1341</v>
      </c>
      <c r="D812">
        <v>1444</v>
      </c>
      <c r="E812">
        <v>1341</v>
      </c>
      <c r="F812">
        <v>1425.25</v>
      </c>
      <c r="G812">
        <v>1425</v>
      </c>
      <c r="H812">
        <v>1433.35</v>
      </c>
      <c r="I812">
        <v>1540126</v>
      </c>
      <c r="J812">
        <v>2162048863.5500002</v>
      </c>
      <c r="K812" s="13">
        <v>43994</v>
      </c>
      <c r="L812">
        <v>107954</v>
      </c>
      <c r="M812" t="s">
        <v>1410</v>
      </c>
    </row>
    <row r="813" spans="1:13" x14ac:dyDescent="0.35">
      <c r="A813" t="s">
        <v>3633</v>
      </c>
      <c r="B813" t="s">
        <v>3514</v>
      </c>
      <c r="C813">
        <v>1376</v>
      </c>
      <c r="D813">
        <v>1376</v>
      </c>
      <c r="E813">
        <v>1373.7</v>
      </c>
      <c r="F813">
        <v>1373.7</v>
      </c>
      <c r="G813">
        <v>1373.7</v>
      </c>
      <c r="H813">
        <v>1320</v>
      </c>
      <c r="I813">
        <v>60</v>
      </c>
      <c r="J813">
        <v>82537</v>
      </c>
      <c r="K813" s="13">
        <v>43994</v>
      </c>
      <c r="L813">
        <v>2</v>
      </c>
      <c r="M813" t="s">
        <v>3634</v>
      </c>
    </row>
    <row r="814" spans="1:13" x14ac:dyDescent="0.35">
      <c r="A814" t="s">
        <v>3633</v>
      </c>
      <c r="B814" t="s">
        <v>3452</v>
      </c>
      <c r="C814">
        <v>1412.89</v>
      </c>
      <c r="D814">
        <v>1412.89</v>
      </c>
      <c r="E814">
        <v>1412.89</v>
      </c>
      <c r="F814">
        <v>1412.89</v>
      </c>
      <c r="G814">
        <v>1412.89</v>
      </c>
      <c r="H814">
        <v>1393.22</v>
      </c>
      <c r="I814">
        <v>180</v>
      </c>
      <c r="J814">
        <v>254320.2</v>
      </c>
      <c r="K814" s="13">
        <v>43994</v>
      </c>
      <c r="L814">
        <v>2</v>
      </c>
      <c r="M814" t="s">
        <v>3635</v>
      </c>
    </row>
    <row r="815" spans="1:13" x14ac:dyDescent="0.35">
      <c r="A815" t="s">
        <v>3636</v>
      </c>
      <c r="B815" t="s">
        <v>3531</v>
      </c>
      <c r="C815">
        <v>1110.0999999999999</v>
      </c>
      <c r="D815">
        <v>1112</v>
      </c>
      <c r="E815">
        <v>1110.0999999999999</v>
      </c>
      <c r="F815">
        <v>1110.6600000000001</v>
      </c>
      <c r="G815">
        <v>1111.5</v>
      </c>
      <c r="H815">
        <v>1109.8399999999999</v>
      </c>
      <c r="I815">
        <v>496</v>
      </c>
      <c r="J815">
        <v>550766.6</v>
      </c>
      <c r="K815" s="13">
        <v>43994</v>
      </c>
      <c r="L815">
        <v>13</v>
      </c>
      <c r="M815" t="s">
        <v>3637</v>
      </c>
    </row>
    <row r="816" spans="1:13" x14ac:dyDescent="0.35">
      <c r="A816" t="s">
        <v>3636</v>
      </c>
      <c r="B816" t="s">
        <v>3430</v>
      </c>
      <c r="C816">
        <v>1263</v>
      </c>
      <c r="D816">
        <v>1264.8</v>
      </c>
      <c r="E816">
        <v>1250</v>
      </c>
      <c r="F816">
        <v>1255</v>
      </c>
      <c r="G816">
        <v>1255</v>
      </c>
      <c r="H816">
        <v>1247</v>
      </c>
      <c r="I816">
        <v>2104</v>
      </c>
      <c r="J816">
        <v>2636210.75</v>
      </c>
      <c r="K816" s="13">
        <v>43994</v>
      </c>
      <c r="L816">
        <v>11</v>
      </c>
      <c r="M816" t="s">
        <v>3638</v>
      </c>
    </row>
    <row r="817" spans="1:13" x14ac:dyDescent="0.35">
      <c r="A817" t="s">
        <v>3636</v>
      </c>
      <c r="B817" t="s">
        <v>3575</v>
      </c>
      <c r="C817">
        <v>1200</v>
      </c>
      <c r="D817">
        <v>1200</v>
      </c>
      <c r="E817">
        <v>1200</v>
      </c>
      <c r="F817">
        <v>1200</v>
      </c>
      <c r="G817">
        <v>1200</v>
      </c>
      <c r="H817">
        <v>1190.01</v>
      </c>
      <c r="I817">
        <v>35</v>
      </c>
      <c r="J817">
        <v>42000</v>
      </c>
      <c r="K817" s="13">
        <v>43994</v>
      </c>
      <c r="L817">
        <v>2</v>
      </c>
      <c r="M817" t="s">
        <v>3639</v>
      </c>
    </row>
    <row r="818" spans="1:13" x14ac:dyDescent="0.35">
      <c r="A818" t="s">
        <v>3636</v>
      </c>
      <c r="B818" t="s">
        <v>3583</v>
      </c>
      <c r="C818">
        <v>1298.0999999999999</v>
      </c>
      <c r="D818">
        <v>1310</v>
      </c>
      <c r="E818">
        <v>1298.0999999999999</v>
      </c>
      <c r="F818">
        <v>1309.77</v>
      </c>
      <c r="G818">
        <v>1310</v>
      </c>
      <c r="H818">
        <v>1308</v>
      </c>
      <c r="I818">
        <v>274</v>
      </c>
      <c r="J818">
        <v>358498.2</v>
      </c>
      <c r="K818" s="13">
        <v>43994</v>
      </c>
      <c r="L818">
        <v>8</v>
      </c>
      <c r="M818" t="s">
        <v>3640</v>
      </c>
    </row>
    <row r="819" spans="1:13" x14ac:dyDescent="0.35">
      <c r="A819" t="s">
        <v>3636</v>
      </c>
      <c r="B819" t="s">
        <v>3481</v>
      </c>
      <c r="C819">
        <v>1399</v>
      </c>
      <c r="D819">
        <v>1399</v>
      </c>
      <c r="E819">
        <v>1350</v>
      </c>
      <c r="F819">
        <v>1353.34</v>
      </c>
      <c r="G819">
        <v>1355</v>
      </c>
      <c r="H819">
        <v>1399</v>
      </c>
      <c r="I819">
        <v>4908</v>
      </c>
      <c r="J819">
        <v>6779896.0300000003</v>
      </c>
      <c r="K819" s="13">
        <v>43994</v>
      </c>
      <c r="L819">
        <v>63</v>
      </c>
      <c r="M819" t="s">
        <v>3641</v>
      </c>
    </row>
    <row r="820" spans="1:13" x14ac:dyDescent="0.35">
      <c r="A820" t="s">
        <v>3636</v>
      </c>
      <c r="B820" t="s">
        <v>3488</v>
      </c>
      <c r="C820">
        <v>1155</v>
      </c>
      <c r="D820">
        <v>1155</v>
      </c>
      <c r="E820">
        <v>1155</v>
      </c>
      <c r="F820">
        <v>1155</v>
      </c>
      <c r="G820">
        <v>1155</v>
      </c>
      <c r="H820">
        <v>1155</v>
      </c>
      <c r="I820">
        <v>20</v>
      </c>
      <c r="J820">
        <v>23100</v>
      </c>
      <c r="K820" s="13">
        <v>43994</v>
      </c>
      <c r="L820">
        <v>2</v>
      </c>
      <c r="M820" t="s">
        <v>3642</v>
      </c>
    </row>
    <row r="821" spans="1:13" x14ac:dyDescent="0.35">
      <c r="A821" t="s">
        <v>3636</v>
      </c>
      <c r="B821" t="s">
        <v>3490</v>
      </c>
      <c r="C821">
        <v>1245</v>
      </c>
      <c r="D821">
        <v>1249</v>
      </c>
      <c r="E821">
        <v>1245</v>
      </c>
      <c r="F821">
        <v>1249</v>
      </c>
      <c r="G821">
        <v>1249</v>
      </c>
      <c r="H821">
        <v>1248.23</v>
      </c>
      <c r="I821">
        <v>765</v>
      </c>
      <c r="J821">
        <v>954625</v>
      </c>
      <c r="K821" s="13">
        <v>43994</v>
      </c>
      <c r="L821">
        <v>16</v>
      </c>
      <c r="M821" t="s">
        <v>3643</v>
      </c>
    </row>
    <row r="822" spans="1:13" x14ac:dyDescent="0.35">
      <c r="A822" t="s">
        <v>3636</v>
      </c>
      <c r="B822" t="s">
        <v>3492</v>
      </c>
      <c r="C822">
        <v>1315</v>
      </c>
      <c r="D822">
        <v>1315</v>
      </c>
      <c r="E822">
        <v>1315</v>
      </c>
      <c r="F822">
        <v>1315</v>
      </c>
      <c r="G822">
        <v>1315</v>
      </c>
      <c r="H822">
        <v>1315</v>
      </c>
      <c r="I822">
        <v>25</v>
      </c>
      <c r="J822">
        <v>32875</v>
      </c>
      <c r="K822" s="13">
        <v>43994</v>
      </c>
      <c r="L822">
        <v>1</v>
      </c>
      <c r="M822" t="s">
        <v>3644</v>
      </c>
    </row>
    <row r="823" spans="1:13" x14ac:dyDescent="0.35">
      <c r="A823" t="s">
        <v>3636</v>
      </c>
      <c r="B823" t="s">
        <v>3498</v>
      </c>
      <c r="C823">
        <v>1262.5</v>
      </c>
      <c r="D823">
        <v>1279</v>
      </c>
      <c r="E823">
        <v>1262</v>
      </c>
      <c r="F823">
        <v>1276.4000000000001</v>
      </c>
      <c r="G823">
        <v>1279</v>
      </c>
      <c r="H823">
        <v>1274</v>
      </c>
      <c r="I823">
        <v>2210</v>
      </c>
      <c r="J823">
        <v>2806006</v>
      </c>
      <c r="K823" s="13">
        <v>43994</v>
      </c>
      <c r="L823">
        <v>19</v>
      </c>
      <c r="M823" t="s">
        <v>3645</v>
      </c>
    </row>
    <row r="824" spans="1:13" x14ac:dyDescent="0.35">
      <c r="A824" t="s">
        <v>1411</v>
      </c>
      <c r="B824" t="s">
        <v>18</v>
      </c>
      <c r="C824">
        <v>390</v>
      </c>
      <c r="D824">
        <v>400</v>
      </c>
      <c r="E824">
        <v>387</v>
      </c>
      <c r="F824">
        <v>389.8</v>
      </c>
      <c r="G824">
        <v>388.6</v>
      </c>
      <c r="H824">
        <v>405.5</v>
      </c>
      <c r="I824">
        <v>608519</v>
      </c>
      <c r="J824">
        <v>237479376.75</v>
      </c>
      <c r="K824" s="13">
        <v>43994</v>
      </c>
      <c r="L824">
        <v>15535</v>
      </c>
      <c r="M824" t="s">
        <v>1412</v>
      </c>
    </row>
    <row r="825" spans="1:13" x14ac:dyDescent="0.35">
      <c r="A825" t="s">
        <v>3646</v>
      </c>
      <c r="B825" t="s">
        <v>3391</v>
      </c>
      <c r="C825">
        <v>49.35</v>
      </c>
      <c r="D825">
        <v>49.35</v>
      </c>
      <c r="E825">
        <v>44.8</v>
      </c>
      <c r="F825">
        <v>47.85</v>
      </c>
      <c r="G825">
        <v>48</v>
      </c>
      <c r="H825">
        <v>47.15</v>
      </c>
      <c r="I825">
        <v>6461</v>
      </c>
      <c r="J825">
        <v>297391.65000000002</v>
      </c>
      <c r="K825" s="13">
        <v>43994</v>
      </c>
      <c r="L825">
        <v>78</v>
      </c>
      <c r="M825" t="s">
        <v>3647</v>
      </c>
    </row>
    <row r="826" spans="1:13" x14ac:dyDescent="0.35">
      <c r="A826" t="s">
        <v>1413</v>
      </c>
      <c r="B826" t="s">
        <v>18</v>
      </c>
      <c r="C826">
        <v>4</v>
      </c>
      <c r="D826">
        <v>4.7</v>
      </c>
      <c r="E826">
        <v>4</v>
      </c>
      <c r="F826">
        <v>4.7</v>
      </c>
      <c r="G826">
        <v>4.7</v>
      </c>
      <c r="H826">
        <v>3.95</v>
      </c>
      <c r="I826">
        <v>762220</v>
      </c>
      <c r="J826">
        <v>3457937</v>
      </c>
      <c r="K826" s="13">
        <v>43994</v>
      </c>
      <c r="L826">
        <v>874</v>
      </c>
      <c r="M826" t="s">
        <v>1414</v>
      </c>
    </row>
    <row r="827" spans="1:13" x14ac:dyDescent="0.35">
      <c r="A827" t="s">
        <v>48</v>
      </c>
      <c r="B827" t="s">
        <v>18</v>
      </c>
      <c r="C827">
        <v>188.95</v>
      </c>
      <c r="D827">
        <v>195.2</v>
      </c>
      <c r="E827">
        <v>187.85</v>
      </c>
      <c r="F827">
        <v>193.9</v>
      </c>
      <c r="G827">
        <v>193.95</v>
      </c>
      <c r="H827">
        <v>194.25</v>
      </c>
      <c r="I827">
        <v>22562987</v>
      </c>
      <c r="J827">
        <v>4335235500.3999996</v>
      </c>
      <c r="K827" s="13">
        <v>43994</v>
      </c>
      <c r="L827">
        <v>132980</v>
      </c>
      <c r="M827" t="s">
        <v>1415</v>
      </c>
    </row>
    <row r="828" spans="1:13" x14ac:dyDescent="0.35">
      <c r="A828" t="s">
        <v>1416</v>
      </c>
      <c r="B828" t="s">
        <v>18</v>
      </c>
      <c r="C828">
        <v>197.4</v>
      </c>
      <c r="D828">
        <v>217.9</v>
      </c>
      <c r="E828">
        <v>197.35</v>
      </c>
      <c r="F828">
        <v>215.2</v>
      </c>
      <c r="G828">
        <v>212.45</v>
      </c>
      <c r="H828">
        <v>207.7</v>
      </c>
      <c r="I828">
        <v>102386</v>
      </c>
      <c r="J828">
        <v>21620305.100000001</v>
      </c>
      <c r="K828" s="13">
        <v>43994</v>
      </c>
      <c r="L828">
        <v>2680</v>
      </c>
      <c r="M828" t="s">
        <v>1417</v>
      </c>
    </row>
    <row r="829" spans="1:13" x14ac:dyDescent="0.35">
      <c r="A829" t="s">
        <v>1418</v>
      </c>
      <c r="B829" t="s">
        <v>18</v>
      </c>
      <c r="C829">
        <v>39.950000000000003</v>
      </c>
      <c r="D829">
        <v>43.95</v>
      </c>
      <c r="E829">
        <v>39.549999999999997</v>
      </c>
      <c r="F829">
        <v>43.2</v>
      </c>
      <c r="G829">
        <v>43.25</v>
      </c>
      <c r="H829">
        <v>42.4</v>
      </c>
      <c r="I829">
        <v>246976</v>
      </c>
      <c r="J829">
        <v>10392059.949999999</v>
      </c>
      <c r="K829" s="13">
        <v>43994</v>
      </c>
      <c r="L829">
        <v>2266</v>
      </c>
      <c r="M829" t="s">
        <v>1419</v>
      </c>
    </row>
    <row r="830" spans="1:13" x14ac:dyDescent="0.35">
      <c r="A830" t="s">
        <v>1420</v>
      </c>
      <c r="B830" t="s">
        <v>18</v>
      </c>
      <c r="C830">
        <v>80.05</v>
      </c>
      <c r="D830">
        <v>83</v>
      </c>
      <c r="E830">
        <v>80.05</v>
      </c>
      <c r="F830">
        <v>82.25</v>
      </c>
      <c r="G830">
        <v>82.1</v>
      </c>
      <c r="H830">
        <v>83.45</v>
      </c>
      <c r="I830">
        <v>546724</v>
      </c>
      <c r="J830">
        <v>44714841.350000001</v>
      </c>
      <c r="K830" s="13">
        <v>43994</v>
      </c>
      <c r="L830">
        <v>5332</v>
      </c>
      <c r="M830" t="s">
        <v>1421</v>
      </c>
    </row>
    <row r="831" spans="1:13" x14ac:dyDescent="0.35">
      <c r="A831" t="s">
        <v>1422</v>
      </c>
      <c r="B831" t="s">
        <v>18</v>
      </c>
      <c r="C831">
        <v>3.45</v>
      </c>
      <c r="D831">
        <v>3.7</v>
      </c>
      <c r="E831">
        <v>3.35</v>
      </c>
      <c r="F831">
        <v>3.5</v>
      </c>
      <c r="G831">
        <v>3.5</v>
      </c>
      <c r="H831">
        <v>3.7</v>
      </c>
      <c r="I831">
        <v>385083</v>
      </c>
      <c r="J831">
        <v>1335123.3500000001</v>
      </c>
      <c r="K831" s="13">
        <v>43994</v>
      </c>
      <c r="L831">
        <v>364</v>
      </c>
      <c r="M831" t="s">
        <v>1423</v>
      </c>
    </row>
    <row r="832" spans="1:13" x14ac:dyDescent="0.35">
      <c r="A832" t="s">
        <v>1424</v>
      </c>
      <c r="B832" t="s">
        <v>18</v>
      </c>
      <c r="C832">
        <v>38.799999999999997</v>
      </c>
      <c r="D832">
        <v>41.35</v>
      </c>
      <c r="E832">
        <v>37</v>
      </c>
      <c r="F832">
        <v>39.950000000000003</v>
      </c>
      <c r="G832">
        <v>40.5</v>
      </c>
      <c r="H832">
        <v>38.4</v>
      </c>
      <c r="I832">
        <v>3057</v>
      </c>
      <c r="J832">
        <v>120621.6</v>
      </c>
      <c r="K832" s="13">
        <v>43994</v>
      </c>
      <c r="L832">
        <v>63</v>
      </c>
      <c r="M832" t="s">
        <v>1425</v>
      </c>
    </row>
    <row r="833" spans="1:13" x14ac:dyDescent="0.35">
      <c r="A833" t="s">
        <v>1426</v>
      </c>
      <c r="B833" t="s">
        <v>18</v>
      </c>
      <c r="C833">
        <v>4400</v>
      </c>
      <c r="D833">
        <v>4400</v>
      </c>
      <c r="E833">
        <v>4330</v>
      </c>
      <c r="F833">
        <v>4351</v>
      </c>
      <c r="G833">
        <v>4351</v>
      </c>
      <c r="H833">
        <v>4349.95</v>
      </c>
      <c r="I833">
        <v>81</v>
      </c>
      <c r="J833">
        <v>354639.9</v>
      </c>
      <c r="K833" s="13">
        <v>43994</v>
      </c>
      <c r="L833">
        <v>24</v>
      </c>
      <c r="M833" t="s">
        <v>1427</v>
      </c>
    </row>
    <row r="834" spans="1:13" x14ac:dyDescent="0.35">
      <c r="A834" t="s">
        <v>1428</v>
      </c>
      <c r="B834" t="s">
        <v>18</v>
      </c>
      <c r="C834">
        <v>22.85</v>
      </c>
      <c r="D834">
        <v>23</v>
      </c>
      <c r="E834">
        <v>22.8</v>
      </c>
      <c r="F834">
        <v>22.95</v>
      </c>
      <c r="G834">
        <v>22.8</v>
      </c>
      <c r="H834">
        <v>23.95</v>
      </c>
      <c r="I834">
        <v>11551</v>
      </c>
      <c r="J834">
        <v>264007.84999999998</v>
      </c>
      <c r="K834" s="13">
        <v>43994</v>
      </c>
      <c r="L834">
        <v>159</v>
      </c>
      <c r="M834" t="s">
        <v>1429</v>
      </c>
    </row>
    <row r="835" spans="1:13" x14ac:dyDescent="0.35">
      <c r="A835" t="s">
        <v>1430</v>
      </c>
      <c r="B835" t="s">
        <v>18</v>
      </c>
      <c r="C835">
        <v>14.15</v>
      </c>
      <c r="D835">
        <v>15.75</v>
      </c>
      <c r="E835">
        <v>14.15</v>
      </c>
      <c r="F835">
        <v>15.55</v>
      </c>
      <c r="G835">
        <v>15.55</v>
      </c>
      <c r="H835">
        <v>15.55</v>
      </c>
      <c r="I835">
        <v>5681381</v>
      </c>
      <c r="J835">
        <v>85262943.150000006</v>
      </c>
      <c r="K835" s="13">
        <v>43994</v>
      </c>
      <c r="L835">
        <v>9018</v>
      </c>
      <c r="M835" t="s">
        <v>1431</v>
      </c>
    </row>
    <row r="836" spans="1:13" x14ac:dyDescent="0.35">
      <c r="A836" t="s">
        <v>1432</v>
      </c>
      <c r="B836" t="s">
        <v>18</v>
      </c>
      <c r="C836">
        <v>37.5</v>
      </c>
      <c r="D836">
        <v>40.15</v>
      </c>
      <c r="E836">
        <v>37.4</v>
      </c>
      <c r="F836">
        <v>39.5</v>
      </c>
      <c r="G836">
        <v>39.549999999999997</v>
      </c>
      <c r="H836">
        <v>39.25</v>
      </c>
      <c r="I836">
        <v>493217</v>
      </c>
      <c r="J836">
        <v>18955874</v>
      </c>
      <c r="K836" s="13">
        <v>43994</v>
      </c>
      <c r="L836">
        <v>4384</v>
      </c>
      <c r="M836" t="s">
        <v>1433</v>
      </c>
    </row>
    <row r="837" spans="1:13" x14ac:dyDescent="0.35">
      <c r="A837" t="s">
        <v>1434</v>
      </c>
      <c r="B837" t="s">
        <v>18</v>
      </c>
      <c r="C837">
        <v>27.65</v>
      </c>
      <c r="D837">
        <v>27.9</v>
      </c>
      <c r="E837">
        <v>25.2</v>
      </c>
      <c r="F837">
        <v>27.4</v>
      </c>
      <c r="G837">
        <v>27.5</v>
      </c>
      <c r="H837">
        <v>27.65</v>
      </c>
      <c r="I837">
        <v>33007</v>
      </c>
      <c r="J837">
        <v>890557.8</v>
      </c>
      <c r="K837" s="13">
        <v>43994</v>
      </c>
      <c r="L837">
        <v>413</v>
      </c>
      <c r="M837" t="s">
        <v>1435</v>
      </c>
    </row>
    <row r="838" spans="1:13" x14ac:dyDescent="0.35">
      <c r="A838" t="s">
        <v>1436</v>
      </c>
      <c r="B838" t="s">
        <v>18</v>
      </c>
      <c r="C838">
        <v>19.100000000000001</v>
      </c>
      <c r="D838">
        <v>20.05</v>
      </c>
      <c r="E838">
        <v>19.100000000000001</v>
      </c>
      <c r="F838">
        <v>19.350000000000001</v>
      </c>
      <c r="G838">
        <v>19.5</v>
      </c>
      <c r="H838">
        <v>19.899999999999999</v>
      </c>
      <c r="I838">
        <v>3226</v>
      </c>
      <c r="J838">
        <v>62555.6</v>
      </c>
      <c r="K838" s="13">
        <v>43994</v>
      </c>
      <c r="L838">
        <v>26</v>
      </c>
      <c r="M838" t="s">
        <v>1437</v>
      </c>
    </row>
    <row r="839" spans="1:13" x14ac:dyDescent="0.35">
      <c r="A839" t="s">
        <v>1438</v>
      </c>
      <c r="B839" t="s">
        <v>18</v>
      </c>
      <c r="C839">
        <v>68.599999999999994</v>
      </c>
      <c r="D839">
        <v>75.7</v>
      </c>
      <c r="E839">
        <v>68.599999999999994</v>
      </c>
      <c r="F839">
        <v>74.3</v>
      </c>
      <c r="G839">
        <v>74.099999999999994</v>
      </c>
      <c r="H839">
        <v>73.599999999999994</v>
      </c>
      <c r="I839">
        <v>1504079</v>
      </c>
      <c r="J839">
        <v>108531142.84999999</v>
      </c>
      <c r="K839" s="13">
        <v>43994</v>
      </c>
      <c r="L839">
        <v>8965</v>
      </c>
      <c r="M839" t="s">
        <v>1439</v>
      </c>
    </row>
    <row r="840" spans="1:13" x14ac:dyDescent="0.35">
      <c r="A840" t="s">
        <v>3648</v>
      </c>
      <c r="B840" t="s">
        <v>3391</v>
      </c>
      <c r="C840">
        <v>1.6</v>
      </c>
      <c r="D840">
        <v>1.6</v>
      </c>
      <c r="E840">
        <v>1.6</v>
      </c>
      <c r="F840">
        <v>1.6</v>
      </c>
      <c r="G840">
        <v>1.6</v>
      </c>
      <c r="H840">
        <v>1.55</v>
      </c>
      <c r="I840">
        <v>1131</v>
      </c>
      <c r="J840">
        <v>1809.6</v>
      </c>
      <c r="K840" s="13">
        <v>43994</v>
      </c>
      <c r="L840">
        <v>4</v>
      </c>
      <c r="M840" t="s">
        <v>3649</v>
      </c>
    </row>
    <row r="841" spans="1:13" x14ac:dyDescent="0.35">
      <c r="A841" t="s">
        <v>3650</v>
      </c>
      <c r="B841" t="s">
        <v>3381</v>
      </c>
      <c r="C841">
        <v>4.45</v>
      </c>
      <c r="D841">
        <v>4.6500000000000004</v>
      </c>
      <c r="E841">
        <v>4.45</v>
      </c>
      <c r="F841">
        <v>4.6500000000000004</v>
      </c>
      <c r="G841">
        <v>4.6500000000000004</v>
      </c>
      <c r="H841">
        <v>4.45</v>
      </c>
      <c r="I841">
        <v>18000</v>
      </c>
      <c r="J841">
        <v>80700</v>
      </c>
      <c r="K841" s="13">
        <v>43994</v>
      </c>
      <c r="L841">
        <v>2</v>
      </c>
      <c r="M841" t="s">
        <v>3651</v>
      </c>
    </row>
    <row r="842" spans="1:13" x14ac:dyDescent="0.35">
      <c r="A842" t="s">
        <v>1440</v>
      </c>
      <c r="B842" t="s">
        <v>18</v>
      </c>
      <c r="C842">
        <v>26.6</v>
      </c>
      <c r="D842">
        <v>30.25</v>
      </c>
      <c r="E842">
        <v>26.35</v>
      </c>
      <c r="F842">
        <v>29.35</v>
      </c>
      <c r="G842">
        <v>29.8</v>
      </c>
      <c r="H842">
        <v>29</v>
      </c>
      <c r="I842">
        <v>1326819</v>
      </c>
      <c r="J842">
        <v>37586711.299999997</v>
      </c>
      <c r="K842" s="13">
        <v>43994</v>
      </c>
      <c r="L842">
        <v>4782</v>
      </c>
      <c r="M842" t="s">
        <v>1441</v>
      </c>
    </row>
    <row r="843" spans="1:13" x14ac:dyDescent="0.35">
      <c r="A843" t="s">
        <v>1442</v>
      </c>
      <c r="B843" t="s">
        <v>18</v>
      </c>
      <c r="C843">
        <v>125.55</v>
      </c>
      <c r="D843">
        <v>139.94999999999999</v>
      </c>
      <c r="E843">
        <v>121</v>
      </c>
      <c r="F843">
        <v>127.85</v>
      </c>
      <c r="G843">
        <v>129.9</v>
      </c>
      <c r="H843">
        <v>131.1</v>
      </c>
      <c r="I843">
        <v>4500</v>
      </c>
      <c r="J843">
        <v>588163.25</v>
      </c>
      <c r="K843" s="13">
        <v>43994</v>
      </c>
      <c r="L843">
        <v>114</v>
      </c>
      <c r="M843" t="s">
        <v>1443</v>
      </c>
    </row>
    <row r="844" spans="1:13" x14ac:dyDescent="0.35">
      <c r="A844" t="s">
        <v>1444</v>
      </c>
      <c r="B844" t="s">
        <v>18</v>
      </c>
      <c r="C844">
        <v>78.400000000000006</v>
      </c>
      <c r="D844">
        <v>84</v>
      </c>
      <c r="E844">
        <v>78.400000000000006</v>
      </c>
      <c r="F844">
        <v>82.3</v>
      </c>
      <c r="G844">
        <v>83</v>
      </c>
      <c r="H844">
        <v>85.5</v>
      </c>
      <c r="I844">
        <v>6953</v>
      </c>
      <c r="J844">
        <v>558733.85</v>
      </c>
      <c r="K844" s="13">
        <v>43994</v>
      </c>
      <c r="L844">
        <v>326</v>
      </c>
      <c r="M844" t="s">
        <v>1445</v>
      </c>
    </row>
    <row r="845" spans="1:13" x14ac:dyDescent="0.35">
      <c r="A845" t="s">
        <v>1446</v>
      </c>
      <c r="B845" t="s">
        <v>18</v>
      </c>
      <c r="C845">
        <v>153.19999999999999</v>
      </c>
      <c r="D845">
        <v>163.4</v>
      </c>
      <c r="E845">
        <v>153.19999999999999</v>
      </c>
      <c r="F845">
        <v>160.55000000000001</v>
      </c>
      <c r="G845">
        <v>160</v>
      </c>
      <c r="H845">
        <v>162</v>
      </c>
      <c r="I845">
        <v>21508</v>
      </c>
      <c r="J845">
        <v>3426108.8</v>
      </c>
      <c r="K845" s="13">
        <v>43994</v>
      </c>
      <c r="L845">
        <v>1109</v>
      </c>
      <c r="M845" t="s">
        <v>1447</v>
      </c>
    </row>
    <row r="846" spans="1:13" x14ac:dyDescent="0.35">
      <c r="A846" t="s">
        <v>3652</v>
      </c>
      <c r="B846" t="s">
        <v>3391</v>
      </c>
      <c r="C846">
        <v>2.9</v>
      </c>
      <c r="D846">
        <v>3.15</v>
      </c>
      <c r="E846">
        <v>2.9</v>
      </c>
      <c r="F846">
        <v>3.15</v>
      </c>
      <c r="G846">
        <v>3.15</v>
      </c>
      <c r="H846">
        <v>3.05</v>
      </c>
      <c r="I846">
        <v>19288</v>
      </c>
      <c r="J846">
        <v>56726.7</v>
      </c>
      <c r="K846" s="13">
        <v>43994</v>
      </c>
      <c r="L846">
        <v>40</v>
      </c>
      <c r="M846" t="s">
        <v>3653</v>
      </c>
    </row>
    <row r="847" spans="1:13" x14ac:dyDescent="0.35">
      <c r="A847" t="s">
        <v>1448</v>
      </c>
      <c r="B847" t="s">
        <v>18</v>
      </c>
      <c r="C847">
        <v>40</v>
      </c>
      <c r="D847">
        <v>42.55</v>
      </c>
      <c r="E847">
        <v>39.35</v>
      </c>
      <c r="F847">
        <v>42</v>
      </c>
      <c r="G847">
        <v>41.75</v>
      </c>
      <c r="H847">
        <v>41.45</v>
      </c>
      <c r="I847">
        <v>43891</v>
      </c>
      <c r="J847">
        <v>1797782.6</v>
      </c>
      <c r="K847" s="13">
        <v>43994</v>
      </c>
      <c r="L847">
        <v>623</v>
      </c>
      <c r="M847" t="s">
        <v>1449</v>
      </c>
    </row>
    <row r="848" spans="1:13" x14ac:dyDescent="0.35">
      <c r="A848" t="s">
        <v>1450</v>
      </c>
      <c r="B848" t="s">
        <v>18</v>
      </c>
      <c r="C848">
        <v>666.7</v>
      </c>
      <c r="D848">
        <v>699</v>
      </c>
      <c r="E848">
        <v>661.25</v>
      </c>
      <c r="F848">
        <v>693.7</v>
      </c>
      <c r="G848">
        <v>697</v>
      </c>
      <c r="H848">
        <v>693.25</v>
      </c>
      <c r="I848">
        <v>115322</v>
      </c>
      <c r="J848">
        <v>79469599.849999994</v>
      </c>
      <c r="K848" s="13">
        <v>43994</v>
      </c>
      <c r="L848">
        <v>6966</v>
      </c>
      <c r="M848" t="s">
        <v>1451</v>
      </c>
    </row>
    <row r="849" spans="1:13" x14ac:dyDescent="0.35">
      <c r="A849" t="s">
        <v>1452</v>
      </c>
      <c r="B849" t="s">
        <v>18</v>
      </c>
      <c r="C849">
        <v>10</v>
      </c>
      <c r="D849">
        <v>10</v>
      </c>
      <c r="E849">
        <v>10</v>
      </c>
      <c r="F849">
        <v>10</v>
      </c>
      <c r="G849">
        <v>10</v>
      </c>
      <c r="H849">
        <v>10.5</v>
      </c>
      <c r="I849">
        <v>30049</v>
      </c>
      <c r="J849">
        <v>300490</v>
      </c>
      <c r="K849" s="13">
        <v>43994</v>
      </c>
      <c r="L849">
        <v>73</v>
      </c>
      <c r="M849" t="s">
        <v>1453</v>
      </c>
    </row>
    <row r="850" spans="1:13" x14ac:dyDescent="0.35">
      <c r="A850" t="s">
        <v>1454</v>
      </c>
      <c r="B850" t="s">
        <v>18</v>
      </c>
      <c r="C850">
        <v>163.15</v>
      </c>
      <c r="D850">
        <v>178</v>
      </c>
      <c r="E850">
        <v>163</v>
      </c>
      <c r="F850">
        <v>176.15</v>
      </c>
      <c r="G850">
        <v>175.55</v>
      </c>
      <c r="H850">
        <v>174.4</v>
      </c>
      <c r="I850">
        <v>23081</v>
      </c>
      <c r="J850">
        <v>3921242.95</v>
      </c>
      <c r="K850" s="13">
        <v>43994</v>
      </c>
      <c r="L850">
        <v>1169</v>
      </c>
      <c r="M850" t="s">
        <v>1455</v>
      </c>
    </row>
    <row r="851" spans="1:13" x14ac:dyDescent="0.35">
      <c r="A851" t="s">
        <v>1456</v>
      </c>
      <c r="B851" t="s">
        <v>18</v>
      </c>
      <c r="C851">
        <v>2359</v>
      </c>
      <c r="D851">
        <v>2415</v>
      </c>
      <c r="E851">
        <v>2305.1</v>
      </c>
      <c r="F851">
        <v>2376.85</v>
      </c>
      <c r="G851">
        <v>2389.9</v>
      </c>
      <c r="H851">
        <v>2398.1</v>
      </c>
      <c r="I851">
        <v>6118</v>
      </c>
      <c r="J851">
        <v>14455135.949999999</v>
      </c>
      <c r="K851" s="13">
        <v>43994</v>
      </c>
      <c r="L851">
        <v>1187</v>
      </c>
      <c r="M851" t="s">
        <v>1457</v>
      </c>
    </row>
    <row r="852" spans="1:13" x14ac:dyDescent="0.35">
      <c r="A852" t="s">
        <v>3654</v>
      </c>
      <c r="B852" t="s">
        <v>3414</v>
      </c>
      <c r="C852">
        <v>26.25</v>
      </c>
      <c r="D852">
        <v>26.25</v>
      </c>
      <c r="E852">
        <v>26.25</v>
      </c>
      <c r="F852">
        <v>26.25</v>
      </c>
      <c r="G852">
        <v>26.25</v>
      </c>
      <c r="H852">
        <v>27.6</v>
      </c>
      <c r="I852">
        <v>68349</v>
      </c>
      <c r="J852">
        <v>1794161.25</v>
      </c>
      <c r="K852" s="13">
        <v>43994</v>
      </c>
      <c r="L852">
        <v>624</v>
      </c>
      <c r="M852" t="s">
        <v>3655</v>
      </c>
    </row>
    <row r="853" spans="1:13" x14ac:dyDescent="0.35">
      <c r="A853" t="s">
        <v>3656</v>
      </c>
      <c r="B853" t="s">
        <v>3381</v>
      </c>
      <c r="C853">
        <v>12</v>
      </c>
      <c r="D853">
        <v>12</v>
      </c>
      <c r="E853">
        <v>12</v>
      </c>
      <c r="F853">
        <v>12</v>
      </c>
      <c r="G853">
        <v>12</v>
      </c>
      <c r="H853">
        <v>11.9</v>
      </c>
      <c r="I853">
        <v>20000</v>
      </c>
      <c r="J853">
        <v>240000</v>
      </c>
      <c r="K853" s="13">
        <v>43994</v>
      </c>
      <c r="L853">
        <v>1</v>
      </c>
      <c r="M853" t="s">
        <v>3657</v>
      </c>
    </row>
    <row r="854" spans="1:13" x14ac:dyDescent="0.35">
      <c r="A854" t="s">
        <v>1458</v>
      </c>
      <c r="B854" t="s">
        <v>18</v>
      </c>
      <c r="C854">
        <v>14.5</v>
      </c>
      <c r="D854">
        <v>15.95</v>
      </c>
      <c r="E854">
        <v>14.5</v>
      </c>
      <c r="F854">
        <v>15.9</v>
      </c>
      <c r="G854">
        <v>15.9</v>
      </c>
      <c r="H854">
        <v>15.25</v>
      </c>
      <c r="I854">
        <v>344633</v>
      </c>
      <c r="J854">
        <v>5177853.2</v>
      </c>
      <c r="K854" s="13">
        <v>43994</v>
      </c>
      <c r="L854">
        <v>966</v>
      </c>
      <c r="M854" t="s">
        <v>1459</v>
      </c>
    </row>
    <row r="855" spans="1:13" x14ac:dyDescent="0.35">
      <c r="A855" t="s">
        <v>3658</v>
      </c>
      <c r="B855" t="s">
        <v>3391</v>
      </c>
      <c r="C855">
        <v>0.55000000000000004</v>
      </c>
      <c r="D855">
        <v>0.55000000000000004</v>
      </c>
      <c r="E855">
        <v>0.45</v>
      </c>
      <c r="F855">
        <v>0.55000000000000004</v>
      </c>
      <c r="G855">
        <v>0.55000000000000004</v>
      </c>
      <c r="H855">
        <v>0.5</v>
      </c>
      <c r="I855">
        <v>186271</v>
      </c>
      <c r="J855">
        <v>101275</v>
      </c>
      <c r="K855" s="13">
        <v>43994</v>
      </c>
      <c r="L855">
        <v>79</v>
      </c>
      <c r="M855" t="s">
        <v>3659</v>
      </c>
    </row>
    <row r="856" spans="1:13" x14ac:dyDescent="0.35">
      <c r="A856" t="s">
        <v>1460</v>
      </c>
      <c r="B856" t="s">
        <v>18</v>
      </c>
      <c r="C856">
        <v>16.350000000000001</v>
      </c>
      <c r="D856">
        <v>16.350000000000001</v>
      </c>
      <c r="E856">
        <v>13.9</v>
      </c>
      <c r="F856">
        <v>15.75</v>
      </c>
      <c r="G856">
        <v>15.7</v>
      </c>
      <c r="H856">
        <v>15.05</v>
      </c>
      <c r="I856">
        <v>6303</v>
      </c>
      <c r="J856">
        <v>94269.1</v>
      </c>
      <c r="K856" s="13">
        <v>43994</v>
      </c>
      <c r="L856">
        <v>112</v>
      </c>
      <c r="M856" t="s">
        <v>1461</v>
      </c>
    </row>
    <row r="857" spans="1:13" x14ac:dyDescent="0.35">
      <c r="A857" t="s">
        <v>1462</v>
      </c>
      <c r="B857" t="s">
        <v>18</v>
      </c>
      <c r="C857">
        <v>316</v>
      </c>
      <c r="D857">
        <v>323.8</v>
      </c>
      <c r="E857">
        <v>308</v>
      </c>
      <c r="F857">
        <v>319.3</v>
      </c>
      <c r="G857">
        <v>318.05</v>
      </c>
      <c r="H857">
        <v>325.35000000000002</v>
      </c>
      <c r="I857">
        <v>57121</v>
      </c>
      <c r="J857">
        <v>18056487.550000001</v>
      </c>
      <c r="K857" s="13">
        <v>43994</v>
      </c>
      <c r="L857">
        <v>2815</v>
      </c>
      <c r="M857" t="s">
        <v>1463</v>
      </c>
    </row>
    <row r="858" spans="1:13" x14ac:dyDescent="0.35">
      <c r="A858" t="s">
        <v>1464</v>
      </c>
      <c r="B858" t="s">
        <v>18</v>
      </c>
      <c r="C858">
        <v>52</v>
      </c>
      <c r="D858">
        <v>53.45</v>
      </c>
      <c r="E858">
        <v>51.15</v>
      </c>
      <c r="F858">
        <v>53.15</v>
      </c>
      <c r="G858">
        <v>53.15</v>
      </c>
      <c r="H858">
        <v>53.7</v>
      </c>
      <c r="I858">
        <v>1043873</v>
      </c>
      <c r="J858">
        <v>55011912.049999997</v>
      </c>
      <c r="K858" s="13">
        <v>43994</v>
      </c>
      <c r="L858">
        <v>5657</v>
      </c>
      <c r="M858" t="s">
        <v>1465</v>
      </c>
    </row>
    <row r="859" spans="1:13" x14ac:dyDescent="0.35">
      <c r="A859" t="s">
        <v>49</v>
      </c>
      <c r="B859" t="s">
        <v>18</v>
      </c>
      <c r="C859">
        <v>131.25</v>
      </c>
      <c r="D859">
        <v>143</v>
      </c>
      <c r="E859">
        <v>131.19999999999999</v>
      </c>
      <c r="F859">
        <v>141.65</v>
      </c>
      <c r="G859">
        <v>142.25</v>
      </c>
      <c r="H859">
        <v>141</v>
      </c>
      <c r="I859">
        <v>9828008</v>
      </c>
      <c r="J859">
        <v>1355306408.45</v>
      </c>
      <c r="K859" s="13">
        <v>43994</v>
      </c>
      <c r="L859">
        <v>60316</v>
      </c>
      <c r="M859" t="s">
        <v>1466</v>
      </c>
    </row>
    <row r="860" spans="1:13" x14ac:dyDescent="0.35">
      <c r="A860" t="s">
        <v>1467</v>
      </c>
      <c r="B860" t="s">
        <v>18</v>
      </c>
      <c r="C860">
        <v>74.75</v>
      </c>
      <c r="D860">
        <v>78.5</v>
      </c>
      <c r="E860">
        <v>71</v>
      </c>
      <c r="F860">
        <v>75.8</v>
      </c>
      <c r="G860">
        <v>76.5</v>
      </c>
      <c r="H860">
        <v>75.2</v>
      </c>
      <c r="I860">
        <v>26005</v>
      </c>
      <c r="J860">
        <v>1910087.3</v>
      </c>
      <c r="K860" s="13">
        <v>43994</v>
      </c>
      <c r="L860">
        <v>363</v>
      </c>
      <c r="M860" t="s">
        <v>1468</v>
      </c>
    </row>
    <row r="861" spans="1:13" x14ac:dyDescent="0.35">
      <c r="A861" t="s">
        <v>1469</v>
      </c>
      <c r="B861" t="s">
        <v>18</v>
      </c>
      <c r="C861">
        <v>32.65</v>
      </c>
      <c r="D861">
        <v>35.75</v>
      </c>
      <c r="E861">
        <v>32.65</v>
      </c>
      <c r="F861">
        <v>34.85</v>
      </c>
      <c r="G861">
        <v>35</v>
      </c>
      <c r="H861">
        <v>34.35</v>
      </c>
      <c r="I861">
        <v>21197</v>
      </c>
      <c r="J861">
        <v>707266.65</v>
      </c>
      <c r="K861" s="13">
        <v>43994</v>
      </c>
      <c r="L861">
        <v>263</v>
      </c>
      <c r="M861" t="s">
        <v>1470</v>
      </c>
    </row>
    <row r="862" spans="1:13" x14ac:dyDescent="0.35">
      <c r="A862" t="s">
        <v>3660</v>
      </c>
      <c r="B862" t="s">
        <v>3391</v>
      </c>
      <c r="C862">
        <v>8.5</v>
      </c>
      <c r="D862">
        <v>8.9499999999999993</v>
      </c>
      <c r="E862">
        <v>8.35</v>
      </c>
      <c r="F862">
        <v>8.75</v>
      </c>
      <c r="G862">
        <v>8.9</v>
      </c>
      <c r="H862">
        <v>8.75</v>
      </c>
      <c r="I862">
        <v>55333</v>
      </c>
      <c r="J862">
        <v>473970.1</v>
      </c>
      <c r="K862" s="13">
        <v>43994</v>
      </c>
      <c r="L862">
        <v>191</v>
      </c>
      <c r="M862" t="s">
        <v>3661</v>
      </c>
    </row>
    <row r="863" spans="1:13" x14ac:dyDescent="0.35">
      <c r="A863" t="s">
        <v>3662</v>
      </c>
      <c r="B863" t="s">
        <v>3391</v>
      </c>
      <c r="C863">
        <v>8.1999999999999993</v>
      </c>
      <c r="D863">
        <v>8.85</v>
      </c>
      <c r="E863">
        <v>8.1999999999999993</v>
      </c>
      <c r="F863">
        <v>8.6999999999999993</v>
      </c>
      <c r="G863">
        <v>8.8000000000000007</v>
      </c>
      <c r="H863">
        <v>8.6</v>
      </c>
      <c r="I863">
        <v>3932594</v>
      </c>
      <c r="J863">
        <v>32719754.149999999</v>
      </c>
      <c r="K863" s="13">
        <v>43994</v>
      </c>
      <c r="L863">
        <v>2310</v>
      </c>
      <c r="M863" t="s">
        <v>3663</v>
      </c>
    </row>
    <row r="864" spans="1:13" x14ac:dyDescent="0.35">
      <c r="A864" t="s">
        <v>3664</v>
      </c>
      <c r="B864" t="s">
        <v>3391</v>
      </c>
      <c r="C864">
        <v>5.35</v>
      </c>
      <c r="D864">
        <v>5.35</v>
      </c>
      <c r="E864">
        <v>4.9000000000000004</v>
      </c>
      <c r="F864">
        <v>5.35</v>
      </c>
      <c r="G864">
        <v>5.35</v>
      </c>
      <c r="H864">
        <v>5.0999999999999996</v>
      </c>
      <c r="I864">
        <v>22830</v>
      </c>
      <c r="J864">
        <v>121879.5</v>
      </c>
      <c r="K864" s="13">
        <v>43994</v>
      </c>
      <c r="L864">
        <v>47</v>
      </c>
      <c r="M864" t="s">
        <v>3665</v>
      </c>
    </row>
    <row r="865" spans="1:13" x14ac:dyDescent="0.35">
      <c r="A865" t="s">
        <v>1471</v>
      </c>
      <c r="B865" t="s">
        <v>18</v>
      </c>
      <c r="C865">
        <v>11.45</v>
      </c>
      <c r="D865">
        <v>11.45</v>
      </c>
      <c r="E865">
        <v>11.1</v>
      </c>
      <c r="F865">
        <v>11.1</v>
      </c>
      <c r="G865">
        <v>11.1</v>
      </c>
      <c r="H865">
        <v>11.65</v>
      </c>
      <c r="I865">
        <v>92790</v>
      </c>
      <c r="J865">
        <v>1038386.25</v>
      </c>
      <c r="K865" s="13">
        <v>43994</v>
      </c>
      <c r="L865">
        <v>282</v>
      </c>
      <c r="M865" t="s">
        <v>1472</v>
      </c>
    </row>
    <row r="866" spans="1:13" x14ac:dyDescent="0.35">
      <c r="A866" t="s">
        <v>1473</v>
      </c>
      <c r="B866" t="s">
        <v>18</v>
      </c>
      <c r="C866">
        <v>1120.5999999999999</v>
      </c>
      <c r="D866">
        <v>1199</v>
      </c>
      <c r="E866">
        <v>1111.25</v>
      </c>
      <c r="F866">
        <v>1190.9000000000001</v>
      </c>
      <c r="G866">
        <v>1188.25</v>
      </c>
      <c r="H866">
        <v>1156.0999999999999</v>
      </c>
      <c r="I866">
        <v>49928</v>
      </c>
      <c r="J866">
        <v>58430673.649999999</v>
      </c>
      <c r="K866" s="13">
        <v>43994</v>
      </c>
      <c r="L866">
        <v>4218</v>
      </c>
      <c r="M866" t="s">
        <v>1474</v>
      </c>
    </row>
    <row r="867" spans="1:13" x14ac:dyDescent="0.35">
      <c r="A867" t="s">
        <v>1475</v>
      </c>
      <c r="B867" t="s">
        <v>18</v>
      </c>
      <c r="C867">
        <v>85.05</v>
      </c>
      <c r="D867">
        <v>89.1</v>
      </c>
      <c r="E867">
        <v>85.05</v>
      </c>
      <c r="F867">
        <v>88.35</v>
      </c>
      <c r="G867">
        <v>88.2</v>
      </c>
      <c r="H867">
        <v>89.95</v>
      </c>
      <c r="I867">
        <v>101014</v>
      </c>
      <c r="J867">
        <v>8779351.6500000004</v>
      </c>
      <c r="K867" s="13">
        <v>43994</v>
      </c>
      <c r="L867">
        <v>1464</v>
      </c>
      <c r="M867" t="s">
        <v>1476</v>
      </c>
    </row>
    <row r="868" spans="1:13" x14ac:dyDescent="0.35">
      <c r="A868" t="s">
        <v>1477</v>
      </c>
      <c r="B868" t="s">
        <v>18</v>
      </c>
      <c r="C868">
        <v>238</v>
      </c>
      <c r="D868">
        <v>244</v>
      </c>
      <c r="E868">
        <v>235</v>
      </c>
      <c r="F868">
        <v>242</v>
      </c>
      <c r="G868">
        <v>240</v>
      </c>
      <c r="H868">
        <v>247.6</v>
      </c>
      <c r="I868">
        <v>354766</v>
      </c>
      <c r="J868">
        <v>84912557.299999997</v>
      </c>
      <c r="K868" s="13">
        <v>43994</v>
      </c>
      <c r="L868">
        <v>14585</v>
      </c>
      <c r="M868" t="s">
        <v>1478</v>
      </c>
    </row>
    <row r="869" spans="1:13" x14ac:dyDescent="0.35">
      <c r="A869" t="s">
        <v>1479</v>
      </c>
      <c r="B869" t="s">
        <v>18</v>
      </c>
      <c r="C869">
        <v>93.2</v>
      </c>
      <c r="D869">
        <v>97.7</v>
      </c>
      <c r="E869">
        <v>91.5</v>
      </c>
      <c r="F869">
        <v>96.25</v>
      </c>
      <c r="G869">
        <v>96.2</v>
      </c>
      <c r="H869">
        <v>96.8</v>
      </c>
      <c r="I869">
        <v>1311705</v>
      </c>
      <c r="J869">
        <v>124348416.84999999</v>
      </c>
      <c r="K869" s="13">
        <v>43994</v>
      </c>
      <c r="L869">
        <v>10330</v>
      </c>
      <c r="M869" t="s">
        <v>1480</v>
      </c>
    </row>
    <row r="870" spans="1:13" x14ac:dyDescent="0.35">
      <c r="A870" t="s">
        <v>1481</v>
      </c>
      <c r="B870" t="s">
        <v>18</v>
      </c>
      <c r="C870">
        <v>56.5</v>
      </c>
      <c r="D870">
        <v>60</v>
      </c>
      <c r="E870">
        <v>56.35</v>
      </c>
      <c r="F870">
        <v>59.75</v>
      </c>
      <c r="G870">
        <v>59.85</v>
      </c>
      <c r="H870">
        <v>60.7</v>
      </c>
      <c r="I870">
        <v>712033</v>
      </c>
      <c r="J870">
        <v>41832132.299999997</v>
      </c>
      <c r="K870" s="13">
        <v>43994</v>
      </c>
      <c r="L870">
        <v>5543</v>
      </c>
      <c r="M870" t="s">
        <v>1482</v>
      </c>
    </row>
    <row r="871" spans="1:13" x14ac:dyDescent="0.35">
      <c r="A871" t="s">
        <v>1483</v>
      </c>
      <c r="B871" t="s">
        <v>18</v>
      </c>
      <c r="C871">
        <v>24.3</v>
      </c>
      <c r="D871">
        <v>24.3</v>
      </c>
      <c r="E871">
        <v>20.399999999999999</v>
      </c>
      <c r="F871">
        <v>22.7</v>
      </c>
      <c r="G871">
        <v>22.9</v>
      </c>
      <c r="H871">
        <v>22.8</v>
      </c>
      <c r="I871">
        <v>15107</v>
      </c>
      <c r="J871">
        <v>334769.8</v>
      </c>
      <c r="K871" s="13">
        <v>43994</v>
      </c>
      <c r="L871">
        <v>91</v>
      </c>
      <c r="M871" t="s">
        <v>1484</v>
      </c>
    </row>
    <row r="872" spans="1:13" x14ac:dyDescent="0.35">
      <c r="A872" t="s">
        <v>1485</v>
      </c>
      <c r="B872" t="s">
        <v>18</v>
      </c>
      <c r="C872">
        <v>42.6</v>
      </c>
      <c r="D872">
        <v>44.8</v>
      </c>
      <c r="E872">
        <v>41.3</v>
      </c>
      <c r="F872">
        <v>43.7</v>
      </c>
      <c r="G872">
        <v>44.15</v>
      </c>
      <c r="H872">
        <v>44.8</v>
      </c>
      <c r="I872">
        <v>91930</v>
      </c>
      <c r="J872">
        <v>3994066.6</v>
      </c>
      <c r="K872" s="13">
        <v>43994</v>
      </c>
      <c r="L872">
        <v>926</v>
      </c>
      <c r="M872" t="s">
        <v>1486</v>
      </c>
    </row>
    <row r="873" spans="1:13" x14ac:dyDescent="0.35">
      <c r="A873" t="s">
        <v>1487</v>
      </c>
      <c r="B873" t="s">
        <v>18</v>
      </c>
      <c r="C873">
        <v>72</v>
      </c>
      <c r="D873">
        <v>75</v>
      </c>
      <c r="E873">
        <v>70.75</v>
      </c>
      <c r="F873">
        <v>74.400000000000006</v>
      </c>
      <c r="G873">
        <v>73.150000000000006</v>
      </c>
      <c r="H873">
        <v>74</v>
      </c>
      <c r="I873">
        <v>1547193</v>
      </c>
      <c r="J873">
        <v>113964285.8</v>
      </c>
      <c r="K873" s="13">
        <v>43994</v>
      </c>
      <c r="L873">
        <v>13345</v>
      </c>
      <c r="M873" t="s">
        <v>1488</v>
      </c>
    </row>
    <row r="874" spans="1:13" x14ac:dyDescent="0.35">
      <c r="A874" t="s">
        <v>1489</v>
      </c>
      <c r="B874" t="s">
        <v>18</v>
      </c>
      <c r="C874">
        <v>3.75</v>
      </c>
      <c r="D874">
        <v>3.75</v>
      </c>
      <c r="E874">
        <v>3.45</v>
      </c>
      <c r="F874">
        <v>3.7</v>
      </c>
      <c r="G874">
        <v>3.75</v>
      </c>
      <c r="H874">
        <v>3.6</v>
      </c>
      <c r="I874">
        <v>2085172</v>
      </c>
      <c r="J874">
        <v>7478782</v>
      </c>
      <c r="K874" s="13">
        <v>43994</v>
      </c>
      <c r="L874">
        <v>2814</v>
      </c>
      <c r="M874" t="s">
        <v>1490</v>
      </c>
    </row>
    <row r="875" spans="1:13" x14ac:dyDescent="0.35">
      <c r="A875" t="s">
        <v>1491</v>
      </c>
      <c r="B875" t="s">
        <v>18</v>
      </c>
      <c r="C875">
        <v>161.9</v>
      </c>
      <c r="D875">
        <v>165.25</v>
      </c>
      <c r="E875">
        <v>154.5</v>
      </c>
      <c r="F875">
        <v>161.9</v>
      </c>
      <c r="G875">
        <v>163.4</v>
      </c>
      <c r="H875">
        <v>163.95</v>
      </c>
      <c r="I875">
        <v>13494</v>
      </c>
      <c r="J875">
        <v>2181121.9</v>
      </c>
      <c r="K875" s="13">
        <v>43994</v>
      </c>
      <c r="L875">
        <v>480</v>
      </c>
      <c r="M875" t="s">
        <v>1492</v>
      </c>
    </row>
    <row r="876" spans="1:13" x14ac:dyDescent="0.35">
      <c r="A876" t="s">
        <v>1493</v>
      </c>
      <c r="B876" t="s">
        <v>18</v>
      </c>
      <c r="C876">
        <v>1.65</v>
      </c>
      <c r="D876">
        <v>1.7</v>
      </c>
      <c r="E876">
        <v>1.6</v>
      </c>
      <c r="F876">
        <v>1.7</v>
      </c>
      <c r="G876">
        <v>1.7</v>
      </c>
      <c r="H876">
        <v>1.65</v>
      </c>
      <c r="I876">
        <v>24015421</v>
      </c>
      <c r="J876">
        <v>39773634.350000001</v>
      </c>
      <c r="K876" s="13">
        <v>43994</v>
      </c>
      <c r="L876">
        <v>4935</v>
      </c>
      <c r="M876" t="s">
        <v>1494</v>
      </c>
    </row>
    <row r="877" spans="1:13" x14ac:dyDescent="0.35">
      <c r="A877" t="s">
        <v>1495</v>
      </c>
      <c r="B877" t="s">
        <v>18</v>
      </c>
      <c r="C877">
        <v>1.25</v>
      </c>
      <c r="D877">
        <v>1.25</v>
      </c>
      <c r="E877">
        <v>1.1499999999999999</v>
      </c>
      <c r="F877">
        <v>1.25</v>
      </c>
      <c r="G877">
        <v>1.25</v>
      </c>
      <c r="H877">
        <v>1.2</v>
      </c>
      <c r="I877">
        <v>10129723</v>
      </c>
      <c r="J877">
        <v>12239408.4</v>
      </c>
      <c r="K877" s="13">
        <v>43994</v>
      </c>
      <c r="L877">
        <v>2754</v>
      </c>
      <c r="M877" t="s">
        <v>1496</v>
      </c>
    </row>
    <row r="878" spans="1:13" x14ac:dyDescent="0.35">
      <c r="A878" t="s">
        <v>1497</v>
      </c>
      <c r="B878" t="s">
        <v>18</v>
      </c>
      <c r="C878">
        <v>14.05</v>
      </c>
      <c r="D878">
        <v>14.05</v>
      </c>
      <c r="E878">
        <v>13.4</v>
      </c>
      <c r="F878">
        <v>14.05</v>
      </c>
      <c r="G878">
        <v>14.05</v>
      </c>
      <c r="H878">
        <v>13.4</v>
      </c>
      <c r="I878">
        <v>2871</v>
      </c>
      <c r="J878">
        <v>40191.199999999997</v>
      </c>
      <c r="K878" s="13">
        <v>43994</v>
      </c>
      <c r="L878">
        <v>25</v>
      </c>
      <c r="M878" t="s">
        <v>1498</v>
      </c>
    </row>
    <row r="879" spans="1:13" x14ac:dyDescent="0.35">
      <c r="A879" t="s">
        <v>1499</v>
      </c>
      <c r="B879" t="s">
        <v>18</v>
      </c>
      <c r="C879">
        <v>1.35</v>
      </c>
      <c r="D879">
        <v>1.35</v>
      </c>
      <c r="E879">
        <v>1.3</v>
      </c>
      <c r="F879">
        <v>1.35</v>
      </c>
      <c r="G879">
        <v>1.35</v>
      </c>
      <c r="H879">
        <v>1.3</v>
      </c>
      <c r="I879">
        <v>9024025</v>
      </c>
      <c r="J879">
        <v>12165683.85</v>
      </c>
      <c r="K879" s="13">
        <v>43994</v>
      </c>
      <c r="L879">
        <v>1412</v>
      </c>
      <c r="M879" t="s">
        <v>1500</v>
      </c>
    </row>
    <row r="880" spans="1:13" x14ac:dyDescent="0.35">
      <c r="A880" t="s">
        <v>1501</v>
      </c>
      <c r="B880" t="s">
        <v>18</v>
      </c>
      <c r="C880">
        <v>32</v>
      </c>
      <c r="D880">
        <v>33.200000000000003</v>
      </c>
      <c r="E880">
        <v>30.75</v>
      </c>
      <c r="F880">
        <v>33</v>
      </c>
      <c r="G880">
        <v>32.700000000000003</v>
      </c>
      <c r="H880">
        <v>32.950000000000003</v>
      </c>
      <c r="I880">
        <v>279804</v>
      </c>
      <c r="J880">
        <v>9012785.1500000004</v>
      </c>
      <c r="K880" s="13">
        <v>43994</v>
      </c>
      <c r="L880">
        <v>1531</v>
      </c>
      <c r="M880" t="s">
        <v>1502</v>
      </c>
    </row>
    <row r="881" spans="1:13" x14ac:dyDescent="0.35">
      <c r="A881" t="s">
        <v>1503</v>
      </c>
      <c r="B881" t="s">
        <v>18</v>
      </c>
      <c r="C881">
        <v>48.75</v>
      </c>
      <c r="D881">
        <v>51.4</v>
      </c>
      <c r="E881">
        <v>46</v>
      </c>
      <c r="F881">
        <v>50.7</v>
      </c>
      <c r="G881">
        <v>50.9</v>
      </c>
      <c r="H881">
        <v>49.65</v>
      </c>
      <c r="I881">
        <v>248283</v>
      </c>
      <c r="J881">
        <v>12231397.85</v>
      </c>
      <c r="K881" s="13">
        <v>43994</v>
      </c>
      <c r="L881">
        <v>1753</v>
      </c>
      <c r="M881" t="s">
        <v>1504</v>
      </c>
    </row>
    <row r="882" spans="1:13" x14ac:dyDescent="0.35">
      <c r="A882" t="s">
        <v>1505</v>
      </c>
      <c r="B882" t="s">
        <v>18</v>
      </c>
      <c r="C882">
        <v>44.25</v>
      </c>
      <c r="D882">
        <v>48.7</v>
      </c>
      <c r="E882">
        <v>44.25</v>
      </c>
      <c r="F882">
        <v>48.1</v>
      </c>
      <c r="G882">
        <v>47.95</v>
      </c>
      <c r="H882">
        <v>47.1</v>
      </c>
      <c r="I882">
        <v>5410580</v>
      </c>
      <c r="J882">
        <v>258152916.5</v>
      </c>
      <c r="K882" s="13">
        <v>43994</v>
      </c>
      <c r="L882">
        <v>15283</v>
      </c>
      <c r="M882" t="s">
        <v>1506</v>
      </c>
    </row>
    <row r="883" spans="1:13" x14ac:dyDescent="0.35">
      <c r="A883" t="s">
        <v>1507</v>
      </c>
      <c r="B883" t="s">
        <v>18</v>
      </c>
      <c r="C883">
        <v>1775</v>
      </c>
      <c r="D883">
        <v>1827.95</v>
      </c>
      <c r="E883">
        <v>1750.05</v>
      </c>
      <c r="F883">
        <v>1802.15</v>
      </c>
      <c r="G883">
        <v>1800</v>
      </c>
      <c r="H883">
        <v>1824.85</v>
      </c>
      <c r="I883">
        <v>1460</v>
      </c>
      <c r="J883">
        <v>2608692.1</v>
      </c>
      <c r="K883" s="13">
        <v>43994</v>
      </c>
      <c r="L883">
        <v>310</v>
      </c>
      <c r="M883" t="s">
        <v>1508</v>
      </c>
    </row>
    <row r="884" spans="1:13" x14ac:dyDescent="0.35">
      <c r="A884" t="s">
        <v>1509</v>
      </c>
      <c r="B884" t="s">
        <v>18</v>
      </c>
      <c r="C884">
        <v>177</v>
      </c>
      <c r="D884">
        <v>190.2</v>
      </c>
      <c r="E884">
        <v>175.45</v>
      </c>
      <c r="F884">
        <v>188.95</v>
      </c>
      <c r="G884">
        <v>188</v>
      </c>
      <c r="H884">
        <v>184.65</v>
      </c>
      <c r="I884">
        <v>9000558</v>
      </c>
      <c r="J884">
        <v>1653357811.5</v>
      </c>
      <c r="K884" s="13">
        <v>43994</v>
      </c>
      <c r="L884">
        <v>52726</v>
      </c>
      <c r="M884" t="s">
        <v>1510</v>
      </c>
    </row>
    <row r="885" spans="1:13" x14ac:dyDescent="0.35">
      <c r="A885" t="s">
        <v>1511</v>
      </c>
      <c r="B885" t="s">
        <v>18</v>
      </c>
      <c r="C885">
        <v>63</v>
      </c>
      <c r="D885">
        <v>77.349999999999994</v>
      </c>
      <c r="E885">
        <v>61.75</v>
      </c>
      <c r="F885">
        <v>75.400000000000006</v>
      </c>
      <c r="G885">
        <v>77.3</v>
      </c>
      <c r="H885">
        <v>65.349999999999994</v>
      </c>
      <c r="I885">
        <v>5853722</v>
      </c>
      <c r="J885">
        <v>427216750.64999998</v>
      </c>
      <c r="K885" s="13">
        <v>43994</v>
      </c>
      <c r="L885">
        <v>29946</v>
      </c>
      <c r="M885" t="s">
        <v>1512</v>
      </c>
    </row>
    <row r="886" spans="1:13" x14ac:dyDescent="0.35">
      <c r="A886" t="s">
        <v>1513</v>
      </c>
      <c r="B886" t="s">
        <v>18</v>
      </c>
      <c r="C886">
        <v>570</v>
      </c>
      <c r="D886">
        <v>607.95000000000005</v>
      </c>
      <c r="E886">
        <v>561.25</v>
      </c>
      <c r="F886">
        <v>596.70000000000005</v>
      </c>
      <c r="G886">
        <v>595</v>
      </c>
      <c r="H886">
        <v>588.4</v>
      </c>
      <c r="I886">
        <v>667073</v>
      </c>
      <c r="J886">
        <v>390911611.94999999</v>
      </c>
      <c r="K886" s="13">
        <v>43994</v>
      </c>
      <c r="L886">
        <v>20759</v>
      </c>
      <c r="M886" t="s">
        <v>1514</v>
      </c>
    </row>
    <row r="887" spans="1:13" x14ac:dyDescent="0.35">
      <c r="A887" t="s">
        <v>1515</v>
      </c>
      <c r="B887" t="s">
        <v>18</v>
      </c>
      <c r="C887">
        <v>1630</v>
      </c>
      <c r="D887">
        <v>1748.55</v>
      </c>
      <c r="E887">
        <v>1625</v>
      </c>
      <c r="F887">
        <v>1737.3</v>
      </c>
      <c r="G887">
        <v>1742</v>
      </c>
      <c r="H887">
        <v>1681.45</v>
      </c>
      <c r="I887">
        <v>1741171</v>
      </c>
      <c r="J887">
        <v>2943718256.9000001</v>
      </c>
      <c r="K887" s="13">
        <v>43994</v>
      </c>
      <c r="L887">
        <v>60490</v>
      </c>
      <c r="M887" t="s">
        <v>1516</v>
      </c>
    </row>
    <row r="888" spans="1:13" x14ac:dyDescent="0.35">
      <c r="A888" t="s">
        <v>1517</v>
      </c>
      <c r="B888" t="s">
        <v>18</v>
      </c>
      <c r="C888">
        <v>105</v>
      </c>
      <c r="D888">
        <v>110.5</v>
      </c>
      <c r="E888">
        <v>100.8</v>
      </c>
      <c r="F888">
        <v>107.55</v>
      </c>
      <c r="G888">
        <v>107.55</v>
      </c>
      <c r="H888">
        <v>112</v>
      </c>
      <c r="I888">
        <v>28792</v>
      </c>
      <c r="J888">
        <v>3043867.85</v>
      </c>
      <c r="K888" s="13">
        <v>43994</v>
      </c>
      <c r="L888">
        <v>869</v>
      </c>
      <c r="M888" t="s">
        <v>1518</v>
      </c>
    </row>
    <row r="889" spans="1:13" x14ac:dyDescent="0.35">
      <c r="A889" t="s">
        <v>1519</v>
      </c>
      <c r="B889" t="s">
        <v>18</v>
      </c>
      <c r="C889">
        <v>47.05</v>
      </c>
      <c r="D889">
        <v>47.45</v>
      </c>
      <c r="E889">
        <v>46.25</v>
      </c>
      <c r="F889">
        <v>47.05</v>
      </c>
      <c r="G889">
        <v>47.2</v>
      </c>
      <c r="H889">
        <v>47</v>
      </c>
      <c r="I889">
        <v>405363</v>
      </c>
      <c r="J889">
        <v>19031519.800000001</v>
      </c>
      <c r="K889" s="13">
        <v>43994</v>
      </c>
      <c r="L889">
        <v>875</v>
      </c>
      <c r="M889" t="s">
        <v>1520</v>
      </c>
    </row>
    <row r="890" spans="1:13" x14ac:dyDescent="0.35">
      <c r="A890" t="s">
        <v>1521</v>
      </c>
      <c r="B890" t="s">
        <v>18</v>
      </c>
      <c r="C890">
        <v>269.39999999999998</v>
      </c>
      <c r="D890">
        <v>282.3</v>
      </c>
      <c r="E890">
        <v>252</v>
      </c>
      <c r="F890">
        <v>260.79000000000002</v>
      </c>
      <c r="G890">
        <v>261.10000000000002</v>
      </c>
      <c r="H890">
        <v>259.02</v>
      </c>
      <c r="I890">
        <v>162065</v>
      </c>
      <c r="J890">
        <v>41467560.210000001</v>
      </c>
      <c r="K890" s="13">
        <v>43994</v>
      </c>
      <c r="L890">
        <v>3091</v>
      </c>
      <c r="M890" t="s">
        <v>1522</v>
      </c>
    </row>
    <row r="891" spans="1:13" x14ac:dyDescent="0.35">
      <c r="A891" t="s">
        <v>1523</v>
      </c>
      <c r="B891" t="s">
        <v>18</v>
      </c>
      <c r="C891">
        <v>379.9</v>
      </c>
      <c r="D891">
        <v>397</v>
      </c>
      <c r="E891">
        <v>378</v>
      </c>
      <c r="F891">
        <v>392.8</v>
      </c>
      <c r="G891">
        <v>389.8</v>
      </c>
      <c r="H891">
        <v>392.3</v>
      </c>
      <c r="I891">
        <v>1583515</v>
      </c>
      <c r="J891">
        <v>612386820.60000002</v>
      </c>
      <c r="K891" s="13">
        <v>43994</v>
      </c>
      <c r="L891">
        <v>43248</v>
      </c>
      <c r="M891" t="s">
        <v>1524</v>
      </c>
    </row>
    <row r="892" spans="1:13" x14ac:dyDescent="0.35">
      <c r="A892" t="s">
        <v>3666</v>
      </c>
      <c r="B892" t="s">
        <v>3414</v>
      </c>
      <c r="C892">
        <v>0.85</v>
      </c>
      <c r="D892">
        <v>0.85</v>
      </c>
      <c r="E892">
        <v>0.75</v>
      </c>
      <c r="F892">
        <v>0.75</v>
      </c>
      <c r="G892">
        <v>0.75</v>
      </c>
      <c r="H892">
        <v>0.8</v>
      </c>
      <c r="I892">
        <v>893858</v>
      </c>
      <c r="J892">
        <v>718784.5</v>
      </c>
      <c r="K892" s="13">
        <v>43994</v>
      </c>
      <c r="L892">
        <v>322</v>
      </c>
      <c r="M892" t="s">
        <v>3667</v>
      </c>
    </row>
    <row r="893" spans="1:13" x14ac:dyDescent="0.35">
      <c r="A893" t="s">
        <v>1525</v>
      </c>
      <c r="B893" t="s">
        <v>18</v>
      </c>
      <c r="C893">
        <v>112.1</v>
      </c>
      <c r="D893">
        <v>117.1</v>
      </c>
      <c r="E893">
        <v>110.05</v>
      </c>
      <c r="F893">
        <v>116.4</v>
      </c>
      <c r="G893">
        <v>116.5</v>
      </c>
      <c r="H893">
        <v>115.85</v>
      </c>
      <c r="I893">
        <v>459124</v>
      </c>
      <c r="J893">
        <v>52769811.299999997</v>
      </c>
      <c r="K893" s="13">
        <v>43994</v>
      </c>
      <c r="L893">
        <v>12144</v>
      </c>
      <c r="M893" t="s">
        <v>1526</v>
      </c>
    </row>
    <row r="894" spans="1:13" x14ac:dyDescent="0.35">
      <c r="A894" t="s">
        <v>1527</v>
      </c>
      <c r="B894" t="s">
        <v>18</v>
      </c>
      <c r="C894">
        <v>49.55</v>
      </c>
      <c r="D894">
        <v>54.5</v>
      </c>
      <c r="E894">
        <v>49.1</v>
      </c>
      <c r="F894">
        <v>52.9</v>
      </c>
      <c r="G894">
        <v>52.6</v>
      </c>
      <c r="H894">
        <v>51.35</v>
      </c>
      <c r="I894">
        <v>49266</v>
      </c>
      <c r="J894">
        <v>2556441.5</v>
      </c>
      <c r="K894" s="13">
        <v>43994</v>
      </c>
      <c r="L894">
        <v>609</v>
      </c>
      <c r="M894" t="s">
        <v>1528</v>
      </c>
    </row>
    <row r="895" spans="1:13" x14ac:dyDescent="0.35">
      <c r="A895" t="s">
        <v>1529</v>
      </c>
      <c r="B895" t="s">
        <v>18</v>
      </c>
      <c r="C895">
        <v>343.05</v>
      </c>
      <c r="D895">
        <v>373.05</v>
      </c>
      <c r="E895">
        <v>343.05</v>
      </c>
      <c r="F895">
        <v>368.5</v>
      </c>
      <c r="G895">
        <v>368.85</v>
      </c>
      <c r="H895">
        <v>357.1</v>
      </c>
      <c r="I895">
        <v>426843</v>
      </c>
      <c r="J895">
        <v>155586335.05000001</v>
      </c>
      <c r="K895" s="13">
        <v>43994</v>
      </c>
      <c r="L895">
        <v>11846</v>
      </c>
      <c r="M895" t="s">
        <v>1530</v>
      </c>
    </row>
    <row r="896" spans="1:13" x14ac:dyDescent="0.35">
      <c r="A896" t="s">
        <v>1531</v>
      </c>
      <c r="B896" t="s">
        <v>18</v>
      </c>
      <c r="C896">
        <v>141.25</v>
      </c>
      <c r="D896">
        <v>144.69999999999999</v>
      </c>
      <c r="E896">
        <v>138.5</v>
      </c>
      <c r="F896">
        <v>141.30000000000001</v>
      </c>
      <c r="G896">
        <v>141.30000000000001</v>
      </c>
      <c r="H896">
        <v>145.44999999999999</v>
      </c>
      <c r="I896">
        <v>20882</v>
      </c>
      <c r="J896">
        <v>2951447.95</v>
      </c>
      <c r="K896" s="13">
        <v>43994</v>
      </c>
      <c r="L896">
        <v>726</v>
      </c>
      <c r="M896" t="s">
        <v>1532</v>
      </c>
    </row>
    <row r="897" spans="1:13" x14ac:dyDescent="0.35">
      <c r="A897" t="s">
        <v>1533</v>
      </c>
      <c r="B897" t="s">
        <v>18</v>
      </c>
      <c r="C897">
        <v>199.8</v>
      </c>
      <c r="D897">
        <v>210.95</v>
      </c>
      <c r="E897">
        <v>198</v>
      </c>
      <c r="F897">
        <v>208.9</v>
      </c>
      <c r="G897">
        <v>208.1</v>
      </c>
      <c r="H897">
        <v>210.25</v>
      </c>
      <c r="I897">
        <v>215282</v>
      </c>
      <c r="J897">
        <v>44277196.049999997</v>
      </c>
      <c r="K897" s="13">
        <v>43994</v>
      </c>
      <c r="L897">
        <v>4481</v>
      </c>
      <c r="M897" t="s">
        <v>1534</v>
      </c>
    </row>
    <row r="898" spans="1:13" x14ac:dyDescent="0.35">
      <c r="A898" t="s">
        <v>3668</v>
      </c>
      <c r="B898" t="s">
        <v>3391</v>
      </c>
      <c r="C898">
        <v>138</v>
      </c>
      <c r="D898">
        <v>139.44999999999999</v>
      </c>
      <c r="E898">
        <v>132.80000000000001</v>
      </c>
      <c r="F898">
        <v>137.85</v>
      </c>
      <c r="G898">
        <v>137.85</v>
      </c>
      <c r="H898">
        <v>139.69999999999999</v>
      </c>
      <c r="I898">
        <v>226</v>
      </c>
      <c r="J898">
        <v>30746.5</v>
      </c>
      <c r="K898" s="13">
        <v>43994</v>
      </c>
      <c r="L898">
        <v>9</v>
      </c>
      <c r="M898" t="s">
        <v>3669</v>
      </c>
    </row>
    <row r="899" spans="1:13" x14ac:dyDescent="0.35">
      <c r="A899" t="s">
        <v>1535</v>
      </c>
      <c r="B899" t="s">
        <v>18</v>
      </c>
      <c r="C899">
        <v>24</v>
      </c>
      <c r="D899">
        <v>24.8</v>
      </c>
      <c r="E899">
        <v>22.7</v>
      </c>
      <c r="F899">
        <v>24.3</v>
      </c>
      <c r="G899">
        <v>24.3</v>
      </c>
      <c r="H899">
        <v>24.45</v>
      </c>
      <c r="I899">
        <v>78369</v>
      </c>
      <c r="J899">
        <v>1859384.6</v>
      </c>
      <c r="K899" s="13">
        <v>43994</v>
      </c>
      <c r="L899">
        <v>685</v>
      </c>
      <c r="M899" t="s">
        <v>1536</v>
      </c>
    </row>
    <row r="900" spans="1:13" x14ac:dyDescent="0.35">
      <c r="A900" t="s">
        <v>1537</v>
      </c>
      <c r="B900" t="s">
        <v>18</v>
      </c>
      <c r="C900">
        <v>79.599999999999994</v>
      </c>
      <c r="D900">
        <v>83.5</v>
      </c>
      <c r="E900">
        <v>75.5</v>
      </c>
      <c r="F900">
        <v>82.35</v>
      </c>
      <c r="G900">
        <v>81</v>
      </c>
      <c r="H900">
        <v>79.7</v>
      </c>
      <c r="I900">
        <v>80249</v>
      </c>
      <c r="J900">
        <v>6377690.9000000004</v>
      </c>
      <c r="K900" s="13">
        <v>43994</v>
      </c>
      <c r="L900">
        <v>791</v>
      </c>
      <c r="M900" t="s">
        <v>1538</v>
      </c>
    </row>
    <row r="901" spans="1:13" x14ac:dyDescent="0.35">
      <c r="A901" t="s">
        <v>3670</v>
      </c>
      <c r="B901" t="s">
        <v>3391</v>
      </c>
      <c r="C901">
        <v>3</v>
      </c>
      <c r="D901">
        <v>3.15</v>
      </c>
      <c r="E901">
        <v>2.9</v>
      </c>
      <c r="F901">
        <v>3.15</v>
      </c>
      <c r="G901">
        <v>3.15</v>
      </c>
      <c r="H901">
        <v>3</v>
      </c>
      <c r="I901">
        <v>27443</v>
      </c>
      <c r="J901">
        <v>82648.850000000006</v>
      </c>
      <c r="K901" s="13">
        <v>43994</v>
      </c>
      <c r="L901">
        <v>23</v>
      </c>
      <c r="M901" t="s">
        <v>3671</v>
      </c>
    </row>
    <row r="902" spans="1:13" x14ac:dyDescent="0.35">
      <c r="A902" t="s">
        <v>1539</v>
      </c>
      <c r="B902" t="s">
        <v>18</v>
      </c>
      <c r="C902">
        <v>32.4</v>
      </c>
      <c r="D902">
        <v>35.9</v>
      </c>
      <c r="E902">
        <v>32.4</v>
      </c>
      <c r="F902">
        <v>35.450000000000003</v>
      </c>
      <c r="G902">
        <v>35.4</v>
      </c>
      <c r="H902">
        <v>34.950000000000003</v>
      </c>
      <c r="I902">
        <v>26399</v>
      </c>
      <c r="J902">
        <v>913210.5</v>
      </c>
      <c r="K902" s="13">
        <v>43994</v>
      </c>
      <c r="L902">
        <v>408</v>
      </c>
      <c r="M902" t="s">
        <v>1540</v>
      </c>
    </row>
    <row r="903" spans="1:13" x14ac:dyDescent="0.35">
      <c r="A903" t="s">
        <v>1541</v>
      </c>
      <c r="B903" t="s">
        <v>18</v>
      </c>
      <c r="C903">
        <v>371</v>
      </c>
      <c r="D903">
        <v>390</v>
      </c>
      <c r="E903">
        <v>371</v>
      </c>
      <c r="F903">
        <v>383.05</v>
      </c>
      <c r="G903">
        <v>390</v>
      </c>
      <c r="H903">
        <v>386.35</v>
      </c>
      <c r="I903">
        <v>259125</v>
      </c>
      <c r="J903">
        <v>98411147.950000003</v>
      </c>
      <c r="K903" s="13">
        <v>43994</v>
      </c>
      <c r="L903">
        <v>3516</v>
      </c>
      <c r="M903" t="s">
        <v>1542</v>
      </c>
    </row>
    <row r="904" spans="1:13" x14ac:dyDescent="0.35">
      <c r="A904" t="s">
        <v>1543</v>
      </c>
      <c r="B904" t="s">
        <v>18</v>
      </c>
      <c r="C904">
        <v>85.45</v>
      </c>
      <c r="D904">
        <v>91.5</v>
      </c>
      <c r="E904">
        <v>85.45</v>
      </c>
      <c r="F904">
        <v>91.5</v>
      </c>
      <c r="G904">
        <v>91.5</v>
      </c>
      <c r="H904">
        <v>89.9</v>
      </c>
      <c r="I904">
        <v>342</v>
      </c>
      <c r="J904">
        <v>30474.6</v>
      </c>
      <c r="K904" s="13">
        <v>43994</v>
      </c>
      <c r="L904">
        <v>21</v>
      </c>
      <c r="M904" t="s">
        <v>1544</v>
      </c>
    </row>
    <row r="905" spans="1:13" x14ac:dyDescent="0.35">
      <c r="A905" t="s">
        <v>3672</v>
      </c>
      <c r="B905" t="s">
        <v>3391</v>
      </c>
      <c r="C905">
        <v>220.2</v>
      </c>
      <c r="D905">
        <v>226.4</v>
      </c>
      <c r="E905">
        <v>210</v>
      </c>
      <c r="F905">
        <v>226.25</v>
      </c>
      <c r="G905">
        <v>225.1</v>
      </c>
      <c r="H905">
        <v>215.65</v>
      </c>
      <c r="I905">
        <v>87117</v>
      </c>
      <c r="J905">
        <v>18990008.199999999</v>
      </c>
      <c r="K905" s="13">
        <v>43994</v>
      </c>
      <c r="L905">
        <v>344</v>
      </c>
      <c r="M905" t="s">
        <v>3673</v>
      </c>
    </row>
    <row r="906" spans="1:13" x14ac:dyDescent="0.35">
      <c r="A906" t="s">
        <v>1545</v>
      </c>
      <c r="B906" t="s">
        <v>18</v>
      </c>
      <c r="C906">
        <v>10.85</v>
      </c>
      <c r="D906">
        <v>10.85</v>
      </c>
      <c r="E906">
        <v>10.85</v>
      </c>
      <c r="F906">
        <v>10.85</v>
      </c>
      <c r="G906">
        <v>10.85</v>
      </c>
      <c r="H906">
        <v>11.4</v>
      </c>
      <c r="I906">
        <v>138</v>
      </c>
      <c r="J906">
        <v>1497.3</v>
      </c>
      <c r="K906" s="13">
        <v>43994</v>
      </c>
      <c r="L906">
        <v>6</v>
      </c>
      <c r="M906" t="s">
        <v>1546</v>
      </c>
    </row>
    <row r="907" spans="1:13" x14ac:dyDescent="0.35">
      <c r="A907" t="s">
        <v>1547</v>
      </c>
      <c r="B907" t="s">
        <v>18</v>
      </c>
      <c r="C907">
        <v>25.2</v>
      </c>
      <c r="D907">
        <v>27</v>
      </c>
      <c r="E907">
        <v>25</v>
      </c>
      <c r="F907">
        <v>26.6</v>
      </c>
      <c r="G907">
        <v>26.85</v>
      </c>
      <c r="H907">
        <v>26.8</v>
      </c>
      <c r="I907">
        <v>786608</v>
      </c>
      <c r="J907">
        <v>20589237.800000001</v>
      </c>
      <c r="K907" s="13">
        <v>43994</v>
      </c>
      <c r="L907">
        <v>2734</v>
      </c>
      <c r="M907" t="s">
        <v>1548</v>
      </c>
    </row>
    <row r="908" spans="1:13" x14ac:dyDescent="0.35">
      <c r="A908" t="s">
        <v>1549</v>
      </c>
      <c r="B908" t="s">
        <v>18</v>
      </c>
      <c r="C908">
        <v>0.55000000000000004</v>
      </c>
      <c r="D908">
        <v>0.55000000000000004</v>
      </c>
      <c r="E908">
        <v>0.55000000000000004</v>
      </c>
      <c r="F908">
        <v>0.55000000000000004</v>
      </c>
      <c r="G908">
        <v>0.55000000000000004</v>
      </c>
      <c r="H908">
        <v>0.6</v>
      </c>
      <c r="I908">
        <v>1500</v>
      </c>
      <c r="J908">
        <v>825</v>
      </c>
      <c r="K908" s="13">
        <v>43994</v>
      </c>
      <c r="L908">
        <v>2</v>
      </c>
      <c r="M908" t="s">
        <v>1550</v>
      </c>
    </row>
    <row r="909" spans="1:13" x14ac:dyDescent="0.35">
      <c r="A909" t="s">
        <v>1551</v>
      </c>
      <c r="B909" t="s">
        <v>18</v>
      </c>
      <c r="C909">
        <v>260.64999999999998</v>
      </c>
      <c r="D909">
        <v>260.64999999999998</v>
      </c>
      <c r="E909">
        <v>235.85</v>
      </c>
      <c r="F909">
        <v>260.64999999999998</v>
      </c>
      <c r="G909">
        <v>260.64999999999998</v>
      </c>
      <c r="H909">
        <v>248.25</v>
      </c>
      <c r="I909">
        <v>172521</v>
      </c>
      <c r="J909">
        <v>43169546.649999999</v>
      </c>
      <c r="K909" s="13">
        <v>43994</v>
      </c>
      <c r="L909">
        <v>2970</v>
      </c>
      <c r="M909" t="s">
        <v>1552</v>
      </c>
    </row>
    <row r="910" spans="1:13" x14ac:dyDescent="0.35">
      <c r="A910" t="s">
        <v>1553</v>
      </c>
      <c r="B910" t="s">
        <v>18</v>
      </c>
      <c r="C910">
        <v>41.75</v>
      </c>
      <c r="D910">
        <v>45.9</v>
      </c>
      <c r="E910">
        <v>41.75</v>
      </c>
      <c r="F910">
        <v>44.8</v>
      </c>
      <c r="G910">
        <v>44.5</v>
      </c>
      <c r="H910">
        <v>44.45</v>
      </c>
      <c r="I910">
        <v>245915</v>
      </c>
      <c r="J910">
        <v>10816025.300000001</v>
      </c>
      <c r="K910" s="13">
        <v>43994</v>
      </c>
      <c r="L910">
        <v>1193</v>
      </c>
      <c r="M910" t="s">
        <v>1554</v>
      </c>
    </row>
    <row r="911" spans="1:13" x14ac:dyDescent="0.35">
      <c r="A911" t="s">
        <v>1555</v>
      </c>
      <c r="B911" t="s">
        <v>18</v>
      </c>
      <c r="C911">
        <v>14.5</v>
      </c>
      <c r="D911">
        <v>15.7</v>
      </c>
      <c r="E911">
        <v>14</v>
      </c>
      <c r="F911">
        <v>15.1</v>
      </c>
      <c r="G911">
        <v>15.2</v>
      </c>
      <c r="H911">
        <v>15.2</v>
      </c>
      <c r="I911">
        <v>352046</v>
      </c>
      <c r="J911">
        <v>5222934.05</v>
      </c>
      <c r="K911" s="13">
        <v>43994</v>
      </c>
      <c r="L911">
        <v>1233</v>
      </c>
      <c r="M911" t="s">
        <v>1556</v>
      </c>
    </row>
    <row r="912" spans="1:13" x14ac:dyDescent="0.35">
      <c r="A912" t="s">
        <v>1557</v>
      </c>
      <c r="B912" t="s">
        <v>18</v>
      </c>
      <c r="C912">
        <v>179.9</v>
      </c>
      <c r="D912">
        <v>179.9</v>
      </c>
      <c r="E912">
        <v>172.95</v>
      </c>
      <c r="F912">
        <v>172.95</v>
      </c>
      <c r="G912">
        <v>172.95</v>
      </c>
      <c r="H912">
        <v>182.05</v>
      </c>
      <c r="I912">
        <v>5946</v>
      </c>
      <c r="J912">
        <v>1030644.95</v>
      </c>
      <c r="K912" s="13">
        <v>43994</v>
      </c>
      <c r="L912">
        <v>129</v>
      </c>
      <c r="M912" t="s">
        <v>1558</v>
      </c>
    </row>
    <row r="913" spans="1:13" x14ac:dyDescent="0.35">
      <c r="A913" t="s">
        <v>1559</v>
      </c>
      <c r="B913" t="s">
        <v>18</v>
      </c>
      <c r="C913">
        <v>224.4</v>
      </c>
      <c r="D913">
        <v>239</v>
      </c>
      <c r="E913">
        <v>224.4</v>
      </c>
      <c r="F913">
        <v>237.15</v>
      </c>
      <c r="G913">
        <v>236.15</v>
      </c>
      <c r="H913">
        <v>237.45</v>
      </c>
      <c r="I913">
        <v>236361</v>
      </c>
      <c r="J913">
        <v>54834985.600000001</v>
      </c>
      <c r="K913" s="13">
        <v>43994</v>
      </c>
      <c r="L913">
        <v>5412</v>
      </c>
      <c r="M913" t="s">
        <v>1560</v>
      </c>
    </row>
    <row r="914" spans="1:13" x14ac:dyDescent="0.35">
      <c r="A914" t="s">
        <v>1561</v>
      </c>
      <c r="B914" t="s">
        <v>18</v>
      </c>
      <c r="C914">
        <v>10</v>
      </c>
      <c r="D914">
        <v>10.199999999999999</v>
      </c>
      <c r="E914">
        <v>9.5</v>
      </c>
      <c r="F914">
        <v>10.1</v>
      </c>
      <c r="G914">
        <v>10.15</v>
      </c>
      <c r="H914">
        <v>9.9499999999999993</v>
      </c>
      <c r="I914">
        <v>39766</v>
      </c>
      <c r="J914">
        <v>391782.45</v>
      </c>
      <c r="K914" s="13">
        <v>43994</v>
      </c>
      <c r="L914">
        <v>193</v>
      </c>
      <c r="M914" t="s">
        <v>1562</v>
      </c>
    </row>
    <row r="915" spans="1:13" x14ac:dyDescent="0.35">
      <c r="A915" t="s">
        <v>1563</v>
      </c>
      <c r="B915" t="s">
        <v>18</v>
      </c>
      <c r="C915">
        <v>315.10000000000002</v>
      </c>
      <c r="D915">
        <v>338.35</v>
      </c>
      <c r="E915">
        <v>303.3</v>
      </c>
      <c r="F915">
        <v>337.15</v>
      </c>
      <c r="G915">
        <v>336.3</v>
      </c>
      <c r="H915">
        <v>330.35</v>
      </c>
      <c r="I915">
        <v>301571</v>
      </c>
      <c r="J915">
        <v>97715446.25</v>
      </c>
      <c r="K915" s="13">
        <v>43994</v>
      </c>
      <c r="L915">
        <v>12714</v>
      </c>
      <c r="M915" t="s">
        <v>1564</v>
      </c>
    </row>
    <row r="916" spans="1:13" x14ac:dyDescent="0.35">
      <c r="A916" t="s">
        <v>3674</v>
      </c>
      <c r="B916" t="s">
        <v>3391</v>
      </c>
      <c r="C916">
        <v>13.65</v>
      </c>
      <c r="D916">
        <v>15</v>
      </c>
      <c r="E916">
        <v>13.65</v>
      </c>
      <c r="F916">
        <v>14.55</v>
      </c>
      <c r="G916">
        <v>14.7</v>
      </c>
      <c r="H916">
        <v>14.35</v>
      </c>
      <c r="I916">
        <v>47391</v>
      </c>
      <c r="J916">
        <v>675747.35</v>
      </c>
      <c r="K916" s="13">
        <v>43994</v>
      </c>
      <c r="L916">
        <v>146</v>
      </c>
      <c r="M916" t="s">
        <v>3675</v>
      </c>
    </row>
    <row r="917" spans="1:13" x14ac:dyDescent="0.35">
      <c r="A917" t="s">
        <v>1565</v>
      </c>
      <c r="B917" t="s">
        <v>18</v>
      </c>
      <c r="C917">
        <v>720</v>
      </c>
      <c r="D917">
        <v>737.4</v>
      </c>
      <c r="E917">
        <v>720</v>
      </c>
      <c r="F917">
        <v>730.35</v>
      </c>
      <c r="G917">
        <v>730</v>
      </c>
      <c r="H917">
        <v>744.05</v>
      </c>
      <c r="I917">
        <v>2176</v>
      </c>
      <c r="J917">
        <v>1574524.8</v>
      </c>
      <c r="K917" s="13">
        <v>43994</v>
      </c>
      <c r="L917">
        <v>284</v>
      </c>
      <c r="M917" t="s">
        <v>1566</v>
      </c>
    </row>
    <row r="918" spans="1:13" x14ac:dyDescent="0.35">
      <c r="A918" t="s">
        <v>3676</v>
      </c>
      <c r="B918" t="s">
        <v>3391</v>
      </c>
      <c r="C918">
        <v>14.95</v>
      </c>
      <c r="D918">
        <v>16</v>
      </c>
      <c r="E918">
        <v>14.95</v>
      </c>
      <c r="F918">
        <v>16</v>
      </c>
      <c r="G918">
        <v>16</v>
      </c>
      <c r="H918">
        <v>15.35</v>
      </c>
      <c r="I918">
        <v>5287</v>
      </c>
      <c r="J918">
        <v>82463</v>
      </c>
      <c r="K918" s="13">
        <v>43994</v>
      </c>
      <c r="L918">
        <v>48</v>
      </c>
      <c r="M918" t="s">
        <v>3677</v>
      </c>
    </row>
    <row r="919" spans="1:13" x14ac:dyDescent="0.35">
      <c r="A919" t="s">
        <v>1567</v>
      </c>
      <c r="B919" t="s">
        <v>18</v>
      </c>
      <c r="C919">
        <v>28.3</v>
      </c>
      <c r="D919">
        <v>30.8</v>
      </c>
      <c r="E919">
        <v>28.3</v>
      </c>
      <c r="F919">
        <v>30.5</v>
      </c>
      <c r="G919">
        <v>30.3</v>
      </c>
      <c r="H919">
        <v>30.4</v>
      </c>
      <c r="I919">
        <v>115997</v>
      </c>
      <c r="J919">
        <v>3476666.55</v>
      </c>
      <c r="K919" s="13">
        <v>43994</v>
      </c>
      <c r="L919">
        <v>910</v>
      </c>
      <c r="M919" t="s">
        <v>1568</v>
      </c>
    </row>
    <row r="920" spans="1:13" x14ac:dyDescent="0.35">
      <c r="A920" t="s">
        <v>1569</v>
      </c>
      <c r="B920" t="s">
        <v>18</v>
      </c>
      <c r="C920">
        <v>32.950000000000003</v>
      </c>
      <c r="D920">
        <v>36.35</v>
      </c>
      <c r="E920">
        <v>32.950000000000003</v>
      </c>
      <c r="F920">
        <v>36.35</v>
      </c>
      <c r="G920">
        <v>36.35</v>
      </c>
      <c r="H920">
        <v>34.65</v>
      </c>
      <c r="I920">
        <v>15</v>
      </c>
      <c r="J920">
        <v>514.65</v>
      </c>
      <c r="K920" s="13">
        <v>43994</v>
      </c>
      <c r="L920">
        <v>2</v>
      </c>
      <c r="M920" t="s">
        <v>1570</v>
      </c>
    </row>
    <row r="921" spans="1:13" x14ac:dyDescent="0.35">
      <c r="A921" t="s">
        <v>3678</v>
      </c>
      <c r="B921" t="s">
        <v>3414</v>
      </c>
      <c r="C921">
        <v>0.2</v>
      </c>
      <c r="D921">
        <v>0.25</v>
      </c>
      <c r="E921">
        <v>0.2</v>
      </c>
      <c r="F921">
        <v>0.2</v>
      </c>
      <c r="G921">
        <v>0.25</v>
      </c>
      <c r="H921">
        <v>0.25</v>
      </c>
      <c r="I921">
        <v>765874</v>
      </c>
      <c r="J921">
        <v>187773.3</v>
      </c>
      <c r="K921" s="13">
        <v>43994</v>
      </c>
      <c r="L921">
        <v>90</v>
      </c>
      <c r="M921" t="s">
        <v>3679</v>
      </c>
    </row>
    <row r="922" spans="1:13" x14ac:dyDescent="0.35">
      <c r="A922" t="s">
        <v>1571</v>
      </c>
      <c r="B922" t="s">
        <v>18</v>
      </c>
      <c r="C922">
        <v>126.05</v>
      </c>
      <c r="D922">
        <v>136</v>
      </c>
      <c r="E922">
        <v>126</v>
      </c>
      <c r="F922">
        <v>134.44999999999999</v>
      </c>
      <c r="G922">
        <v>134.4</v>
      </c>
      <c r="H922">
        <v>135.4</v>
      </c>
      <c r="I922">
        <v>183136</v>
      </c>
      <c r="J922">
        <v>24071491.75</v>
      </c>
      <c r="K922" s="13">
        <v>43994</v>
      </c>
      <c r="L922">
        <v>4345</v>
      </c>
      <c r="M922" t="s">
        <v>1572</v>
      </c>
    </row>
    <row r="923" spans="1:13" x14ac:dyDescent="0.35">
      <c r="A923" t="s">
        <v>1573</v>
      </c>
      <c r="B923" t="s">
        <v>18</v>
      </c>
      <c r="C923">
        <v>9.9</v>
      </c>
      <c r="D923">
        <v>10.8</v>
      </c>
      <c r="E923">
        <v>9.85</v>
      </c>
      <c r="F923">
        <v>10.45</v>
      </c>
      <c r="G923">
        <v>10.45</v>
      </c>
      <c r="H923">
        <v>10.35</v>
      </c>
      <c r="I923">
        <v>6717</v>
      </c>
      <c r="J923">
        <v>68219.3</v>
      </c>
      <c r="K923" s="13">
        <v>43994</v>
      </c>
      <c r="L923">
        <v>20</v>
      </c>
      <c r="M923" t="s">
        <v>1574</v>
      </c>
    </row>
    <row r="924" spans="1:13" x14ac:dyDescent="0.35">
      <c r="A924" t="s">
        <v>1575</v>
      </c>
      <c r="B924" t="s">
        <v>18</v>
      </c>
      <c r="C924">
        <v>1237.1500000000001</v>
      </c>
      <c r="D924">
        <v>1265</v>
      </c>
      <c r="E924">
        <v>1205.1500000000001</v>
      </c>
      <c r="F924">
        <v>1265</v>
      </c>
      <c r="G924">
        <v>1265</v>
      </c>
      <c r="H924">
        <v>1275</v>
      </c>
      <c r="I924">
        <v>413</v>
      </c>
      <c r="J924">
        <v>506677.85</v>
      </c>
      <c r="K924" s="13">
        <v>43994</v>
      </c>
      <c r="L924">
        <v>67</v>
      </c>
      <c r="M924" t="s">
        <v>1576</v>
      </c>
    </row>
    <row r="925" spans="1:13" x14ac:dyDescent="0.35">
      <c r="A925" t="s">
        <v>1577</v>
      </c>
      <c r="B925" t="s">
        <v>18</v>
      </c>
      <c r="C925">
        <v>120</v>
      </c>
      <c r="D925">
        <v>132.69999999999999</v>
      </c>
      <c r="E925">
        <v>115.25</v>
      </c>
      <c r="F925">
        <v>125.85</v>
      </c>
      <c r="G925">
        <v>125.95</v>
      </c>
      <c r="H925">
        <v>125.95</v>
      </c>
      <c r="I925">
        <v>89073</v>
      </c>
      <c r="J925">
        <v>11217112.300000001</v>
      </c>
      <c r="K925" s="13">
        <v>43994</v>
      </c>
      <c r="L925">
        <v>3325</v>
      </c>
      <c r="M925" t="s">
        <v>1578</v>
      </c>
    </row>
    <row r="926" spans="1:13" x14ac:dyDescent="0.35">
      <c r="A926" t="s">
        <v>1579</v>
      </c>
      <c r="B926" t="s">
        <v>18</v>
      </c>
      <c r="C926">
        <v>425</v>
      </c>
      <c r="D926">
        <v>443.2</v>
      </c>
      <c r="E926">
        <v>423</v>
      </c>
      <c r="F926">
        <v>441.65</v>
      </c>
      <c r="G926">
        <v>442.9</v>
      </c>
      <c r="H926">
        <v>438.6</v>
      </c>
      <c r="I926">
        <v>2175</v>
      </c>
      <c r="J926">
        <v>947128.35</v>
      </c>
      <c r="K926" s="13">
        <v>43994</v>
      </c>
      <c r="L926">
        <v>208</v>
      </c>
      <c r="M926" t="s">
        <v>1580</v>
      </c>
    </row>
    <row r="927" spans="1:13" x14ac:dyDescent="0.35">
      <c r="A927" t="s">
        <v>1581</v>
      </c>
      <c r="B927" t="s">
        <v>18</v>
      </c>
      <c r="C927">
        <v>100.3</v>
      </c>
      <c r="D927">
        <v>101.9</v>
      </c>
      <c r="E927">
        <v>97.95</v>
      </c>
      <c r="F927">
        <v>100.15</v>
      </c>
      <c r="G927">
        <v>99.5</v>
      </c>
      <c r="H927">
        <v>103.1</v>
      </c>
      <c r="I927">
        <v>23288</v>
      </c>
      <c r="J927">
        <v>2311087.5499999998</v>
      </c>
      <c r="K927" s="13">
        <v>43994</v>
      </c>
      <c r="L927">
        <v>408</v>
      </c>
      <c r="M927" t="s">
        <v>1582</v>
      </c>
    </row>
    <row r="928" spans="1:13" x14ac:dyDescent="0.35">
      <c r="A928" t="s">
        <v>1583</v>
      </c>
      <c r="B928" t="s">
        <v>18</v>
      </c>
      <c r="C928">
        <v>320.05</v>
      </c>
      <c r="D928">
        <v>343.35</v>
      </c>
      <c r="E928">
        <v>320.05</v>
      </c>
      <c r="F928">
        <v>336.25</v>
      </c>
      <c r="G928">
        <v>335.55</v>
      </c>
      <c r="H928">
        <v>343.6</v>
      </c>
      <c r="I928">
        <v>66604</v>
      </c>
      <c r="J928">
        <v>22338550.399999999</v>
      </c>
      <c r="K928" s="13">
        <v>43994</v>
      </c>
      <c r="L928">
        <v>1884</v>
      </c>
      <c r="M928" t="s">
        <v>1584</v>
      </c>
    </row>
    <row r="929" spans="1:13" x14ac:dyDescent="0.35">
      <c r="A929" t="s">
        <v>1585</v>
      </c>
      <c r="B929" t="s">
        <v>18</v>
      </c>
      <c r="C929">
        <v>65.400000000000006</v>
      </c>
      <c r="D929">
        <v>65.400000000000006</v>
      </c>
      <c r="E929">
        <v>60</v>
      </c>
      <c r="F929">
        <v>63.6</v>
      </c>
      <c r="G929">
        <v>63.95</v>
      </c>
      <c r="H929">
        <v>64.599999999999994</v>
      </c>
      <c r="I929">
        <v>64121</v>
      </c>
      <c r="J929">
        <v>3988962.55</v>
      </c>
      <c r="K929" s="13">
        <v>43994</v>
      </c>
      <c r="L929">
        <v>951</v>
      </c>
      <c r="M929" t="s">
        <v>1586</v>
      </c>
    </row>
    <row r="930" spans="1:13" x14ac:dyDescent="0.35">
      <c r="A930" t="s">
        <v>1587</v>
      </c>
      <c r="B930" t="s">
        <v>18</v>
      </c>
      <c r="C930">
        <v>102</v>
      </c>
      <c r="D930">
        <v>117.4</v>
      </c>
      <c r="E930">
        <v>102</v>
      </c>
      <c r="F930">
        <v>115.7</v>
      </c>
      <c r="G930">
        <v>115.7</v>
      </c>
      <c r="H930">
        <v>109.5</v>
      </c>
      <c r="I930">
        <v>120487</v>
      </c>
      <c r="J930">
        <v>13291732.550000001</v>
      </c>
      <c r="K930" s="13">
        <v>43994</v>
      </c>
      <c r="L930">
        <v>2436</v>
      </c>
      <c r="M930" t="s">
        <v>1588</v>
      </c>
    </row>
    <row r="931" spans="1:13" x14ac:dyDescent="0.35">
      <c r="A931" t="s">
        <v>1589</v>
      </c>
      <c r="B931" t="s">
        <v>18</v>
      </c>
      <c r="C931">
        <v>96.6</v>
      </c>
      <c r="D931">
        <v>103.05</v>
      </c>
      <c r="E931">
        <v>96.5</v>
      </c>
      <c r="F931">
        <v>101.9</v>
      </c>
      <c r="G931">
        <v>102</v>
      </c>
      <c r="H931">
        <v>101.5</v>
      </c>
      <c r="I931">
        <v>43080</v>
      </c>
      <c r="J931">
        <v>4329547.0999999996</v>
      </c>
      <c r="K931" s="13">
        <v>43994</v>
      </c>
      <c r="L931">
        <v>1120</v>
      </c>
      <c r="M931" t="s">
        <v>1590</v>
      </c>
    </row>
    <row r="932" spans="1:13" x14ac:dyDescent="0.35">
      <c r="A932" t="s">
        <v>1591</v>
      </c>
      <c r="B932" t="s">
        <v>18</v>
      </c>
      <c r="C932">
        <v>522.25</v>
      </c>
      <c r="D932">
        <v>560</v>
      </c>
      <c r="E932">
        <v>516</v>
      </c>
      <c r="F932">
        <v>532.04999999999995</v>
      </c>
      <c r="G932">
        <v>525</v>
      </c>
      <c r="H932">
        <v>549.79999999999995</v>
      </c>
      <c r="I932">
        <v>2827</v>
      </c>
      <c r="J932">
        <v>1511047.3</v>
      </c>
      <c r="K932" s="13">
        <v>43994</v>
      </c>
      <c r="L932">
        <v>403</v>
      </c>
      <c r="M932" t="s">
        <v>1592</v>
      </c>
    </row>
    <row r="933" spans="1:13" x14ac:dyDescent="0.35">
      <c r="A933" t="s">
        <v>1593</v>
      </c>
      <c r="B933" t="s">
        <v>18</v>
      </c>
      <c r="C933">
        <v>100</v>
      </c>
      <c r="D933">
        <v>107.4</v>
      </c>
      <c r="E933">
        <v>100</v>
      </c>
      <c r="F933">
        <v>106.65</v>
      </c>
      <c r="G933">
        <v>105.6</v>
      </c>
      <c r="H933">
        <v>105.75</v>
      </c>
      <c r="I933">
        <v>95827</v>
      </c>
      <c r="J933">
        <v>9979668.5500000007</v>
      </c>
      <c r="K933" s="13">
        <v>43994</v>
      </c>
      <c r="L933">
        <v>1425</v>
      </c>
      <c r="M933" t="s">
        <v>1594</v>
      </c>
    </row>
    <row r="934" spans="1:13" x14ac:dyDescent="0.35">
      <c r="A934" t="s">
        <v>1595</v>
      </c>
      <c r="B934" t="s">
        <v>18</v>
      </c>
      <c r="C934">
        <v>740.55</v>
      </c>
      <c r="D934">
        <v>774.95</v>
      </c>
      <c r="E934">
        <v>705.6</v>
      </c>
      <c r="F934">
        <v>766.45</v>
      </c>
      <c r="G934">
        <v>767</v>
      </c>
      <c r="H934">
        <v>765.2</v>
      </c>
      <c r="I934">
        <v>1720</v>
      </c>
      <c r="J934">
        <v>1270033.3500000001</v>
      </c>
      <c r="K934" s="13">
        <v>43994</v>
      </c>
      <c r="L934">
        <v>436</v>
      </c>
      <c r="M934" t="s">
        <v>1596</v>
      </c>
    </row>
    <row r="935" spans="1:13" x14ac:dyDescent="0.35">
      <c r="A935" t="s">
        <v>1597</v>
      </c>
      <c r="B935" t="s">
        <v>18</v>
      </c>
      <c r="C935">
        <v>9.4499999999999993</v>
      </c>
      <c r="D935">
        <v>9.9</v>
      </c>
      <c r="E935">
        <v>8.5500000000000007</v>
      </c>
      <c r="F935">
        <v>9.35</v>
      </c>
      <c r="G935">
        <v>9.25</v>
      </c>
      <c r="H935">
        <v>9.6</v>
      </c>
      <c r="I935">
        <v>695886</v>
      </c>
      <c r="J935">
        <v>6472421.75</v>
      </c>
      <c r="K935" s="13">
        <v>43994</v>
      </c>
      <c r="L935">
        <v>1472</v>
      </c>
      <c r="M935" t="s">
        <v>1598</v>
      </c>
    </row>
    <row r="936" spans="1:13" x14ac:dyDescent="0.35">
      <c r="A936" t="s">
        <v>1599</v>
      </c>
      <c r="B936" t="s">
        <v>18</v>
      </c>
      <c r="C936">
        <v>191</v>
      </c>
      <c r="D936">
        <v>198.8</v>
      </c>
      <c r="E936">
        <v>191</v>
      </c>
      <c r="F936">
        <v>196.85</v>
      </c>
      <c r="G936">
        <v>196.5</v>
      </c>
      <c r="H936">
        <v>201.8</v>
      </c>
      <c r="I936">
        <v>188031</v>
      </c>
      <c r="J936">
        <v>36838207</v>
      </c>
      <c r="K936" s="13">
        <v>43994</v>
      </c>
      <c r="L936">
        <v>4119</v>
      </c>
      <c r="M936" t="s">
        <v>1600</v>
      </c>
    </row>
    <row r="937" spans="1:13" x14ac:dyDescent="0.35">
      <c r="A937" t="s">
        <v>3680</v>
      </c>
      <c r="B937" t="s">
        <v>3414</v>
      </c>
      <c r="C937">
        <v>9.4</v>
      </c>
      <c r="D937">
        <v>9.4</v>
      </c>
      <c r="E937">
        <v>9.1999999999999993</v>
      </c>
      <c r="F937">
        <v>9.1999999999999993</v>
      </c>
      <c r="G937">
        <v>9.1999999999999993</v>
      </c>
      <c r="H937">
        <v>9.65</v>
      </c>
      <c r="I937">
        <v>6130</v>
      </c>
      <c r="J937">
        <v>56596</v>
      </c>
      <c r="K937" s="13">
        <v>43994</v>
      </c>
      <c r="L937">
        <v>34</v>
      </c>
      <c r="M937" t="s">
        <v>3681</v>
      </c>
    </row>
    <row r="938" spans="1:13" x14ac:dyDescent="0.35">
      <c r="A938" t="s">
        <v>1601</v>
      </c>
      <c r="B938" t="s">
        <v>18</v>
      </c>
      <c r="C938">
        <v>53.1</v>
      </c>
      <c r="D938">
        <v>57.2</v>
      </c>
      <c r="E938">
        <v>53.1</v>
      </c>
      <c r="F938">
        <v>56.55</v>
      </c>
      <c r="G938">
        <v>56.05</v>
      </c>
      <c r="H938">
        <v>56.65</v>
      </c>
      <c r="I938">
        <v>138754</v>
      </c>
      <c r="J938">
        <v>7635187.9000000004</v>
      </c>
      <c r="K938" s="13">
        <v>43994</v>
      </c>
      <c r="L938">
        <v>1995</v>
      </c>
      <c r="M938" t="s">
        <v>1602</v>
      </c>
    </row>
    <row r="939" spans="1:13" x14ac:dyDescent="0.35">
      <c r="A939" t="s">
        <v>1603</v>
      </c>
      <c r="B939" t="s">
        <v>18</v>
      </c>
      <c r="C939">
        <v>155.69999999999999</v>
      </c>
      <c r="D939">
        <v>161.4</v>
      </c>
      <c r="E939">
        <v>154.6</v>
      </c>
      <c r="F939">
        <v>158.9</v>
      </c>
      <c r="G939">
        <v>158.5</v>
      </c>
      <c r="H939">
        <v>159.94999999999999</v>
      </c>
      <c r="I939">
        <v>32333</v>
      </c>
      <c r="J939">
        <v>5093299.6500000004</v>
      </c>
      <c r="K939" s="13">
        <v>43994</v>
      </c>
      <c r="L939">
        <v>1050</v>
      </c>
      <c r="M939" t="s">
        <v>1604</v>
      </c>
    </row>
    <row r="940" spans="1:13" x14ac:dyDescent="0.35">
      <c r="A940" t="s">
        <v>1605</v>
      </c>
      <c r="B940" t="s">
        <v>18</v>
      </c>
      <c r="C940">
        <v>30</v>
      </c>
      <c r="D940">
        <v>33.799999999999997</v>
      </c>
      <c r="E940">
        <v>29.1</v>
      </c>
      <c r="F940">
        <v>33</v>
      </c>
      <c r="G940">
        <v>32.5</v>
      </c>
      <c r="H940">
        <v>31.5</v>
      </c>
      <c r="I940">
        <v>301534</v>
      </c>
      <c r="J940">
        <v>9709084.25</v>
      </c>
      <c r="K940" s="13">
        <v>43994</v>
      </c>
      <c r="L940">
        <v>1869</v>
      </c>
      <c r="M940" t="s">
        <v>1606</v>
      </c>
    </row>
    <row r="941" spans="1:13" x14ac:dyDescent="0.35">
      <c r="A941" t="s">
        <v>1607</v>
      </c>
      <c r="B941" t="s">
        <v>18</v>
      </c>
      <c r="C941">
        <v>1240</v>
      </c>
      <c r="D941">
        <v>1289.7</v>
      </c>
      <c r="E941">
        <v>1231.5999999999999</v>
      </c>
      <c r="F941">
        <v>1279.8</v>
      </c>
      <c r="G941">
        <v>1280</v>
      </c>
      <c r="H941">
        <v>1298.7</v>
      </c>
      <c r="I941">
        <v>8992434</v>
      </c>
      <c r="J941">
        <v>11332596629.1</v>
      </c>
      <c r="K941" s="13">
        <v>43994</v>
      </c>
      <c r="L941">
        <v>240356</v>
      </c>
      <c r="M941" t="s">
        <v>1608</v>
      </c>
    </row>
    <row r="942" spans="1:13" x14ac:dyDescent="0.35">
      <c r="A942" t="s">
        <v>1609</v>
      </c>
      <c r="B942" t="s">
        <v>18</v>
      </c>
      <c r="C942">
        <v>200</v>
      </c>
      <c r="D942">
        <v>209.19</v>
      </c>
      <c r="E942">
        <v>199.76</v>
      </c>
      <c r="F942">
        <v>208.57</v>
      </c>
      <c r="G942">
        <v>208</v>
      </c>
      <c r="H942">
        <v>208.19</v>
      </c>
      <c r="I942">
        <v>640045</v>
      </c>
      <c r="J942">
        <v>130940251.34</v>
      </c>
      <c r="K942" s="13">
        <v>43994</v>
      </c>
      <c r="L942">
        <v>2699</v>
      </c>
      <c r="M942" t="s">
        <v>1610</v>
      </c>
    </row>
    <row r="943" spans="1:13" x14ac:dyDescent="0.35">
      <c r="A943" t="s">
        <v>1611</v>
      </c>
      <c r="B943" t="s">
        <v>18</v>
      </c>
      <c r="C943">
        <v>418.45</v>
      </c>
      <c r="D943">
        <v>422.9</v>
      </c>
      <c r="E943">
        <v>418.1</v>
      </c>
      <c r="F943">
        <v>419.1</v>
      </c>
      <c r="G943">
        <v>419.25</v>
      </c>
      <c r="H943">
        <v>418.7</v>
      </c>
      <c r="I943">
        <v>69102</v>
      </c>
      <c r="J943">
        <v>29007202.550000001</v>
      </c>
      <c r="K943" s="13">
        <v>43994</v>
      </c>
      <c r="L943">
        <v>1140</v>
      </c>
      <c r="M943" t="s">
        <v>1612</v>
      </c>
    </row>
    <row r="944" spans="1:13" x14ac:dyDescent="0.35">
      <c r="A944" t="s">
        <v>1613</v>
      </c>
      <c r="B944" t="s">
        <v>18</v>
      </c>
      <c r="C944">
        <v>101.98</v>
      </c>
      <c r="D944">
        <v>103.94</v>
      </c>
      <c r="E944">
        <v>100</v>
      </c>
      <c r="F944">
        <v>103.56</v>
      </c>
      <c r="G944">
        <v>103.75</v>
      </c>
      <c r="H944">
        <v>103.28</v>
      </c>
      <c r="I944">
        <v>66278</v>
      </c>
      <c r="J944">
        <v>6741560.5800000001</v>
      </c>
      <c r="K944" s="13">
        <v>43994</v>
      </c>
      <c r="L944">
        <v>971</v>
      </c>
      <c r="M944" t="s">
        <v>1614</v>
      </c>
    </row>
    <row r="945" spans="1:13" x14ac:dyDescent="0.35">
      <c r="A945" t="s">
        <v>1615</v>
      </c>
      <c r="B945" t="s">
        <v>18</v>
      </c>
      <c r="C945">
        <v>54.98</v>
      </c>
      <c r="D945">
        <v>54.98</v>
      </c>
      <c r="E945">
        <v>51</v>
      </c>
      <c r="F945">
        <v>51.55</v>
      </c>
      <c r="G945">
        <v>51.45</v>
      </c>
      <c r="H945">
        <v>51.92</v>
      </c>
      <c r="I945">
        <v>5534</v>
      </c>
      <c r="J945">
        <v>284897.55</v>
      </c>
      <c r="K945" s="13">
        <v>43994</v>
      </c>
      <c r="L945">
        <v>97</v>
      </c>
      <c r="M945" t="s">
        <v>1616</v>
      </c>
    </row>
    <row r="946" spans="1:13" x14ac:dyDescent="0.35">
      <c r="A946" t="s">
        <v>1617</v>
      </c>
      <c r="B946" t="s">
        <v>18</v>
      </c>
      <c r="C946">
        <v>133.15</v>
      </c>
      <c r="D946">
        <v>136</v>
      </c>
      <c r="E946">
        <v>125.5</v>
      </c>
      <c r="F946">
        <v>132.65</v>
      </c>
      <c r="G946">
        <v>136</v>
      </c>
      <c r="H946">
        <v>133.15</v>
      </c>
      <c r="I946">
        <v>20144</v>
      </c>
      <c r="J946">
        <v>2641345.1</v>
      </c>
      <c r="K946" s="13">
        <v>43994</v>
      </c>
      <c r="L946">
        <v>413</v>
      </c>
      <c r="M946" t="s">
        <v>1618</v>
      </c>
    </row>
    <row r="947" spans="1:13" x14ac:dyDescent="0.35">
      <c r="A947" t="s">
        <v>1619</v>
      </c>
      <c r="B947" t="s">
        <v>18</v>
      </c>
      <c r="C947">
        <v>13.8</v>
      </c>
      <c r="D947">
        <v>14.55</v>
      </c>
      <c r="E947">
        <v>13.6</v>
      </c>
      <c r="F947">
        <v>14.1</v>
      </c>
      <c r="G947">
        <v>14.1</v>
      </c>
      <c r="H947">
        <v>14.55</v>
      </c>
      <c r="I947">
        <v>255561</v>
      </c>
      <c r="J947">
        <v>3582271.9</v>
      </c>
      <c r="K947" s="13">
        <v>43994</v>
      </c>
      <c r="L947">
        <v>548</v>
      </c>
      <c r="M947" t="s">
        <v>1620</v>
      </c>
    </row>
    <row r="948" spans="1:13" x14ac:dyDescent="0.35">
      <c r="A948" t="s">
        <v>1621</v>
      </c>
      <c r="B948" t="s">
        <v>18</v>
      </c>
      <c r="C948">
        <v>14.3</v>
      </c>
      <c r="D948">
        <v>14.65</v>
      </c>
      <c r="E948">
        <v>13.75</v>
      </c>
      <c r="F948">
        <v>14.1</v>
      </c>
      <c r="G948">
        <v>14.15</v>
      </c>
      <c r="H948">
        <v>14.45</v>
      </c>
      <c r="I948">
        <v>60901</v>
      </c>
      <c r="J948">
        <v>853757.1</v>
      </c>
      <c r="K948" s="13">
        <v>43994</v>
      </c>
      <c r="L948">
        <v>182</v>
      </c>
      <c r="M948" t="s">
        <v>1622</v>
      </c>
    </row>
    <row r="949" spans="1:13" x14ac:dyDescent="0.35">
      <c r="A949" t="s">
        <v>1623</v>
      </c>
      <c r="B949" t="s">
        <v>18</v>
      </c>
      <c r="C949">
        <v>72.95</v>
      </c>
      <c r="D949">
        <v>74.150000000000006</v>
      </c>
      <c r="E949">
        <v>68.150000000000006</v>
      </c>
      <c r="F949">
        <v>72.599999999999994</v>
      </c>
      <c r="G949">
        <v>72.400000000000006</v>
      </c>
      <c r="H949">
        <v>70.650000000000006</v>
      </c>
      <c r="I949">
        <v>40730</v>
      </c>
      <c r="J949">
        <v>2938062.4</v>
      </c>
      <c r="K949" s="13">
        <v>43994</v>
      </c>
      <c r="L949">
        <v>854</v>
      </c>
      <c r="M949" t="s">
        <v>1624</v>
      </c>
    </row>
    <row r="950" spans="1:13" x14ac:dyDescent="0.35">
      <c r="A950" t="s">
        <v>1625</v>
      </c>
      <c r="B950" t="s">
        <v>18</v>
      </c>
      <c r="C950">
        <v>58.45</v>
      </c>
      <c r="D950">
        <v>61.35</v>
      </c>
      <c r="E950">
        <v>58.45</v>
      </c>
      <c r="F950">
        <v>60.65</v>
      </c>
      <c r="G950">
        <v>60</v>
      </c>
      <c r="H950">
        <v>61.5</v>
      </c>
      <c r="I950">
        <v>479790</v>
      </c>
      <c r="J950">
        <v>28475746.449999999</v>
      </c>
      <c r="K950" s="13">
        <v>43994</v>
      </c>
      <c r="L950">
        <v>5351</v>
      </c>
      <c r="M950" t="s">
        <v>1626</v>
      </c>
    </row>
    <row r="951" spans="1:13" x14ac:dyDescent="0.35">
      <c r="A951" t="s">
        <v>1627</v>
      </c>
      <c r="B951" t="s">
        <v>18</v>
      </c>
      <c r="C951">
        <v>440.25</v>
      </c>
      <c r="D951">
        <v>519</v>
      </c>
      <c r="E951">
        <v>440.2</v>
      </c>
      <c r="F951">
        <v>497.65</v>
      </c>
      <c r="G951">
        <v>495</v>
      </c>
      <c r="H951">
        <v>462.9</v>
      </c>
      <c r="I951">
        <v>13298</v>
      </c>
      <c r="J951">
        <v>6414345.0499999998</v>
      </c>
      <c r="K951" s="13">
        <v>43994</v>
      </c>
      <c r="L951">
        <v>810</v>
      </c>
      <c r="M951" t="s">
        <v>1628</v>
      </c>
    </row>
    <row r="952" spans="1:13" x14ac:dyDescent="0.35">
      <c r="A952" t="s">
        <v>1629</v>
      </c>
      <c r="B952" t="s">
        <v>18</v>
      </c>
      <c r="C952">
        <v>212</v>
      </c>
      <c r="D952">
        <v>228.45</v>
      </c>
      <c r="E952">
        <v>206.45</v>
      </c>
      <c r="F952">
        <v>226.55</v>
      </c>
      <c r="G952">
        <v>225.55</v>
      </c>
      <c r="H952">
        <v>219.1</v>
      </c>
      <c r="I952">
        <v>547958</v>
      </c>
      <c r="J952">
        <v>119726896.65000001</v>
      </c>
      <c r="K952" s="13">
        <v>43994</v>
      </c>
      <c r="L952">
        <v>9593</v>
      </c>
      <c r="M952" t="s">
        <v>1630</v>
      </c>
    </row>
    <row r="953" spans="1:13" x14ac:dyDescent="0.35">
      <c r="A953" t="s">
        <v>1631</v>
      </c>
      <c r="B953" t="s">
        <v>18</v>
      </c>
      <c r="C953">
        <v>81</v>
      </c>
      <c r="D953">
        <v>86.45</v>
      </c>
      <c r="E953">
        <v>80</v>
      </c>
      <c r="F953">
        <v>83.05</v>
      </c>
      <c r="G953">
        <v>82.05</v>
      </c>
      <c r="H953">
        <v>81.900000000000006</v>
      </c>
      <c r="I953">
        <v>9725</v>
      </c>
      <c r="J953">
        <v>805194.25</v>
      </c>
      <c r="K953" s="13">
        <v>43994</v>
      </c>
      <c r="L953">
        <v>257</v>
      </c>
      <c r="M953" t="s">
        <v>1632</v>
      </c>
    </row>
    <row r="954" spans="1:13" x14ac:dyDescent="0.35">
      <c r="A954" t="s">
        <v>3682</v>
      </c>
      <c r="B954" t="s">
        <v>3391</v>
      </c>
      <c r="C954">
        <v>3.3</v>
      </c>
      <c r="D954">
        <v>3.45</v>
      </c>
      <c r="E954">
        <v>3.15</v>
      </c>
      <c r="F954">
        <v>3.45</v>
      </c>
      <c r="G954">
        <v>3.45</v>
      </c>
      <c r="H954">
        <v>3.3</v>
      </c>
      <c r="I954">
        <v>150834</v>
      </c>
      <c r="J954">
        <v>494130.45</v>
      </c>
      <c r="K954" s="13">
        <v>43994</v>
      </c>
      <c r="L954">
        <v>173</v>
      </c>
      <c r="M954" t="s">
        <v>3683</v>
      </c>
    </row>
    <row r="955" spans="1:13" x14ac:dyDescent="0.35">
      <c r="A955" t="s">
        <v>3684</v>
      </c>
      <c r="B955" t="s">
        <v>3391</v>
      </c>
      <c r="C955">
        <v>43</v>
      </c>
      <c r="D955">
        <v>43</v>
      </c>
      <c r="E955">
        <v>40</v>
      </c>
      <c r="F955">
        <v>42.85</v>
      </c>
      <c r="G955">
        <v>42.85</v>
      </c>
      <c r="H955">
        <v>41.75</v>
      </c>
      <c r="I955">
        <v>20477</v>
      </c>
      <c r="J955">
        <v>820121.35</v>
      </c>
      <c r="K955" s="13">
        <v>43994</v>
      </c>
      <c r="L955">
        <v>31</v>
      </c>
      <c r="M955" t="s">
        <v>3685</v>
      </c>
    </row>
    <row r="956" spans="1:13" x14ac:dyDescent="0.35">
      <c r="A956" t="s">
        <v>1633</v>
      </c>
      <c r="B956" t="s">
        <v>18</v>
      </c>
      <c r="C956">
        <v>475.2</v>
      </c>
      <c r="D956">
        <v>495</v>
      </c>
      <c r="E956">
        <v>465</v>
      </c>
      <c r="F956">
        <v>490.5</v>
      </c>
      <c r="G956">
        <v>491</v>
      </c>
      <c r="H956">
        <v>518.54999999999995</v>
      </c>
      <c r="I956">
        <v>66815</v>
      </c>
      <c r="J956">
        <v>32154548.550000001</v>
      </c>
      <c r="K956" s="13">
        <v>43994</v>
      </c>
      <c r="L956">
        <v>3547</v>
      </c>
      <c r="M956" t="s">
        <v>1634</v>
      </c>
    </row>
    <row r="957" spans="1:13" x14ac:dyDescent="0.35">
      <c r="A957" t="s">
        <v>1635</v>
      </c>
      <c r="B957" t="s">
        <v>18</v>
      </c>
      <c r="C957">
        <v>485</v>
      </c>
      <c r="D957">
        <v>527</v>
      </c>
      <c r="E957">
        <v>485</v>
      </c>
      <c r="F957">
        <v>523.20000000000005</v>
      </c>
      <c r="G957">
        <v>522</v>
      </c>
      <c r="H957">
        <v>517</v>
      </c>
      <c r="I957">
        <v>298569</v>
      </c>
      <c r="J957">
        <v>150609429</v>
      </c>
      <c r="K957" s="13">
        <v>43994</v>
      </c>
      <c r="L957">
        <v>7953</v>
      </c>
      <c r="M957" t="s">
        <v>1636</v>
      </c>
    </row>
    <row r="958" spans="1:13" x14ac:dyDescent="0.35">
      <c r="A958" t="s">
        <v>3686</v>
      </c>
      <c r="B958" t="s">
        <v>3391</v>
      </c>
      <c r="C958">
        <v>0.2</v>
      </c>
      <c r="D958">
        <v>0.2</v>
      </c>
      <c r="E958">
        <v>0.15</v>
      </c>
      <c r="F958">
        <v>0.2</v>
      </c>
      <c r="G958">
        <v>0.15</v>
      </c>
      <c r="H958">
        <v>0.2</v>
      </c>
      <c r="I958">
        <v>2549543</v>
      </c>
      <c r="J958">
        <v>478599.9</v>
      </c>
      <c r="K958" s="13">
        <v>43994</v>
      </c>
      <c r="L958">
        <v>325</v>
      </c>
      <c r="M958" t="s">
        <v>3687</v>
      </c>
    </row>
    <row r="959" spans="1:13" x14ac:dyDescent="0.35">
      <c r="A959" t="s">
        <v>1637</v>
      </c>
      <c r="B959" t="s">
        <v>18</v>
      </c>
      <c r="C959">
        <v>0.55000000000000004</v>
      </c>
      <c r="D959">
        <v>0.55000000000000004</v>
      </c>
      <c r="E959">
        <v>0.55000000000000004</v>
      </c>
      <c r="F959">
        <v>0.55000000000000004</v>
      </c>
      <c r="G959">
        <v>0.55000000000000004</v>
      </c>
      <c r="H959">
        <v>0.6</v>
      </c>
      <c r="I959">
        <v>1154862</v>
      </c>
      <c r="J959">
        <v>635174.1</v>
      </c>
      <c r="K959" s="13">
        <v>43994</v>
      </c>
      <c r="L959">
        <v>254</v>
      </c>
      <c r="M959" t="s">
        <v>1638</v>
      </c>
    </row>
    <row r="960" spans="1:13" x14ac:dyDescent="0.35">
      <c r="A960" t="s">
        <v>1639</v>
      </c>
      <c r="B960" t="s">
        <v>18</v>
      </c>
      <c r="C960">
        <v>170.05</v>
      </c>
      <c r="D960">
        <v>185</v>
      </c>
      <c r="E960">
        <v>170.05</v>
      </c>
      <c r="F960">
        <v>182.55</v>
      </c>
      <c r="G960">
        <v>181.7</v>
      </c>
      <c r="H960">
        <v>178.95</v>
      </c>
      <c r="I960">
        <v>77400</v>
      </c>
      <c r="J960">
        <v>13727702.550000001</v>
      </c>
      <c r="K960" s="13">
        <v>43994</v>
      </c>
      <c r="L960">
        <v>2129</v>
      </c>
      <c r="M960" t="s">
        <v>1640</v>
      </c>
    </row>
    <row r="961" spans="1:13" x14ac:dyDescent="0.35">
      <c r="A961" t="s">
        <v>1641</v>
      </c>
      <c r="B961" t="s">
        <v>18</v>
      </c>
      <c r="C961">
        <v>38</v>
      </c>
      <c r="D961">
        <v>40.9</v>
      </c>
      <c r="E961">
        <v>37.549999999999997</v>
      </c>
      <c r="F961">
        <v>40.6</v>
      </c>
      <c r="G961">
        <v>40.6</v>
      </c>
      <c r="H961">
        <v>39.65</v>
      </c>
      <c r="I961">
        <v>3446924</v>
      </c>
      <c r="J961">
        <v>137032732.75</v>
      </c>
      <c r="K961" s="13">
        <v>43994</v>
      </c>
      <c r="L961">
        <v>9561</v>
      </c>
      <c r="M961" t="s">
        <v>1642</v>
      </c>
    </row>
    <row r="962" spans="1:13" x14ac:dyDescent="0.35">
      <c r="A962" t="s">
        <v>1643</v>
      </c>
      <c r="B962" t="s">
        <v>18</v>
      </c>
      <c r="C962">
        <v>393.6</v>
      </c>
      <c r="D962">
        <v>425</v>
      </c>
      <c r="E962">
        <v>393.6</v>
      </c>
      <c r="F962">
        <v>422.95</v>
      </c>
      <c r="G962">
        <v>422.95</v>
      </c>
      <c r="H962">
        <v>420.25</v>
      </c>
      <c r="I962">
        <v>530</v>
      </c>
      <c r="J962">
        <v>216754.9</v>
      </c>
      <c r="K962" s="13">
        <v>43994</v>
      </c>
      <c r="L962">
        <v>36</v>
      </c>
      <c r="M962" t="s">
        <v>1644</v>
      </c>
    </row>
    <row r="963" spans="1:13" x14ac:dyDescent="0.35">
      <c r="A963" t="s">
        <v>1645</v>
      </c>
      <c r="B963" t="s">
        <v>18</v>
      </c>
      <c r="C963">
        <v>3</v>
      </c>
      <c r="D963">
        <v>3</v>
      </c>
      <c r="E963">
        <v>2.8</v>
      </c>
      <c r="F963">
        <v>2.95</v>
      </c>
      <c r="G963">
        <v>3</v>
      </c>
      <c r="H963">
        <v>2.9</v>
      </c>
      <c r="I963">
        <v>2736456</v>
      </c>
      <c r="J963">
        <v>7832386.5999999996</v>
      </c>
      <c r="K963" s="13">
        <v>43994</v>
      </c>
      <c r="L963">
        <v>1644</v>
      </c>
      <c r="M963" t="s">
        <v>1646</v>
      </c>
    </row>
    <row r="964" spans="1:13" x14ac:dyDescent="0.35">
      <c r="A964" t="s">
        <v>1647</v>
      </c>
      <c r="B964" t="s">
        <v>18</v>
      </c>
      <c r="C964">
        <v>58.7</v>
      </c>
      <c r="D964">
        <v>63.45</v>
      </c>
      <c r="E964">
        <v>58.3</v>
      </c>
      <c r="F964">
        <v>62.9</v>
      </c>
      <c r="G964">
        <v>62.7</v>
      </c>
      <c r="H964">
        <v>61.55</v>
      </c>
      <c r="I964">
        <v>22310444</v>
      </c>
      <c r="J964">
        <v>1358840384.45</v>
      </c>
      <c r="K964" s="13">
        <v>43994</v>
      </c>
      <c r="L964">
        <v>60854</v>
      </c>
      <c r="M964" t="s">
        <v>1648</v>
      </c>
    </row>
    <row r="965" spans="1:13" x14ac:dyDescent="0.35">
      <c r="A965" t="s">
        <v>3688</v>
      </c>
      <c r="B965" t="s">
        <v>3573</v>
      </c>
      <c r="C965">
        <v>1031.1099999999999</v>
      </c>
      <c r="D965">
        <v>1045</v>
      </c>
      <c r="E965">
        <v>1031.1099999999999</v>
      </c>
      <c r="F965">
        <v>1044.99</v>
      </c>
      <c r="G965">
        <v>1045</v>
      </c>
      <c r="H965">
        <v>1050</v>
      </c>
      <c r="I965">
        <v>91</v>
      </c>
      <c r="J965">
        <v>94650.26</v>
      </c>
      <c r="K965" s="13">
        <v>43994</v>
      </c>
      <c r="L965">
        <v>9</v>
      </c>
      <c r="M965" t="s">
        <v>3689</v>
      </c>
    </row>
    <row r="966" spans="1:13" x14ac:dyDescent="0.35">
      <c r="A966" t="s">
        <v>3688</v>
      </c>
      <c r="B966" t="s">
        <v>3454</v>
      </c>
      <c r="C966">
        <v>1061</v>
      </c>
      <c r="D966">
        <v>1061</v>
      </c>
      <c r="E966">
        <v>1061</v>
      </c>
      <c r="F966">
        <v>1061</v>
      </c>
      <c r="G966">
        <v>1061</v>
      </c>
      <c r="H966">
        <v>1116.9000000000001</v>
      </c>
      <c r="I966">
        <v>20</v>
      </c>
      <c r="J966">
        <v>21220</v>
      </c>
      <c r="K966" s="13">
        <v>43994</v>
      </c>
      <c r="L966">
        <v>1</v>
      </c>
      <c r="M966" t="s">
        <v>3690</v>
      </c>
    </row>
    <row r="967" spans="1:13" x14ac:dyDescent="0.35">
      <c r="A967" t="s">
        <v>3688</v>
      </c>
      <c r="B967" t="s">
        <v>3481</v>
      </c>
      <c r="C967">
        <v>1061</v>
      </c>
      <c r="D967">
        <v>1069.8</v>
      </c>
      <c r="E967">
        <v>1060</v>
      </c>
      <c r="F967">
        <v>1068</v>
      </c>
      <c r="G967">
        <v>1068</v>
      </c>
      <c r="H967">
        <v>1050</v>
      </c>
      <c r="I967">
        <v>350</v>
      </c>
      <c r="J967">
        <v>372520</v>
      </c>
      <c r="K967" s="13">
        <v>43994</v>
      </c>
      <c r="L967">
        <v>8</v>
      </c>
      <c r="M967" t="s">
        <v>3691</v>
      </c>
    </row>
    <row r="968" spans="1:13" x14ac:dyDescent="0.35">
      <c r="A968" t="s">
        <v>3688</v>
      </c>
      <c r="B968" t="s">
        <v>3485</v>
      </c>
      <c r="C968">
        <v>1149.95</v>
      </c>
      <c r="D968">
        <v>1149.95</v>
      </c>
      <c r="E968">
        <v>1149.95</v>
      </c>
      <c r="F968">
        <v>1149.95</v>
      </c>
      <c r="G968">
        <v>1149.95</v>
      </c>
      <c r="H968">
        <v>1149.99</v>
      </c>
      <c r="I968">
        <v>100</v>
      </c>
      <c r="J968">
        <v>114995</v>
      </c>
      <c r="K968" s="13">
        <v>43994</v>
      </c>
      <c r="L968">
        <v>1</v>
      </c>
      <c r="M968" t="s">
        <v>3692</v>
      </c>
    </row>
    <row r="969" spans="1:13" x14ac:dyDescent="0.35">
      <c r="A969" t="s">
        <v>3688</v>
      </c>
      <c r="B969" t="s">
        <v>3498</v>
      </c>
      <c r="C969">
        <v>1050</v>
      </c>
      <c r="D969">
        <v>1050</v>
      </c>
      <c r="E969">
        <v>1050</v>
      </c>
      <c r="F969">
        <v>1050</v>
      </c>
      <c r="G969">
        <v>1050</v>
      </c>
      <c r="H969">
        <v>1050</v>
      </c>
      <c r="I969">
        <v>10</v>
      </c>
      <c r="J969">
        <v>10500</v>
      </c>
      <c r="K969" s="13">
        <v>43994</v>
      </c>
      <c r="L969">
        <v>1</v>
      </c>
      <c r="M969" t="s">
        <v>3693</v>
      </c>
    </row>
    <row r="970" spans="1:13" x14ac:dyDescent="0.35">
      <c r="A970" t="s">
        <v>3688</v>
      </c>
      <c r="B970" t="s">
        <v>3460</v>
      </c>
      <c r="C970">
        <v>1175</v>
      </c>
      <c r="D970">
        <v>1182</v>
      </c>
      <c r="E970">
        <v>1175</v>
      </c>
      <c r="F970">
        <v>1182</v>
      </c>
      <c r="G970">
        <v>1182</v>
      </c>
      <c r="H970">
        <v>1170</v>
      </c>
      <c r="I970">
        <v>79</v>
      </c>
      <c r="J970">
        <v>93040</v>
      </c>
      <c r="K970" s="13">
        <v>43994</v>
      </c>
      <c r="L970">
        <v>3</v>
      </c>
      <c r="M970" t="s">
        <v>3694</v>
      </c>
    </row>
    <row r="971" spans="1:13" x14ac:dyDescent="0.35">
      <c r="A971" t="s">
        <v>3688</v>
      </c>
      <c r="B971" t="s">
        <v>3464</v>
      </c>
      <c r="C971">
        <v>1037</v>
      </c>
      <c r="D971">
        <v>1037</v>
      </c>
      <c r="E971">
        <v>1037</v>
      </c>
      <c r="F971">
        <v>1037</v>
      </c>
      <c r="G971">
        <v>1037</v>
      </c>
      <c r="H971">
        <v>1049</v>
      </c>
      <c r="I971">
        <v>20</v>
      </c>
      <c r="J971">
        <v>20740</v>
      </c>
      <c r="K971" s="13">
        <v>43994</v>
      </c>
      <c r="L971">
        <v>1</v>
      </c>
      <c r="M971" t="s">
        <v>3695</v>
      </c>
    </row>
    <row r="972" spans="1:13" x14ac:dyDescent="0.35">
      <c r="A972" t="s">
        <v>3688</v>
      </c>
      <c r="B972" t="s">
        <v>3696</v>
      </c>
      <c r="C972">
        <v>1030</v>
      </c>
      <c r="D972">
        <v>1030</v>
      </c>
      <c r="E972">
        <v>1030</v>
      </c>
      <c r="F972">
        <v>1030</v>
      </c>
      <c r="G972">
        <v>1030</v>
      </c>
      <c r="H972">
        <v>1030</v>
      </c>
      <c r="I972">
        <v>5</v>
      </c>
      <c r="J972">
        <v>5150</v>
      </c>
      <c r="K972" s="13">
        <v>43994</v>
      </c>
      <c r="L972">
        <v>1</v>
      </c>
      <c r="M972" t="s">
        <v>3697</v>
      </c>
    </row>
    <row r="973" spans="1:13" x14ac:dyDescent="0.35">
      <c r="A973" t="s">
        <v>3688</v>
      </c>
      <c r="B973" t="s">
        <v>3698</v>
      </c>
      <c r="C973">
        <v>1010</v>
      </c>
      <c r="D973">
        <v>1016</v>
      </c>
      <c r="E973">
        <v>1010</v>
      </c>
      <c r="F973">
        <v>1016</v>
      </c>
      <c r="G973">
        <v>1016</v>
      </c>
      <c r="H973">
        <v>1015</v>
      </c>
      <c r="I973">
        <v>118</v>
      </c>
      <c r="J973">
        <v>119540</v>
      </c>
      <c r="K973" s="13">
        <v>43994</v>
      </c>
      <c r="L973">
        <v>9</v>
      </c>
      <c r="M973" t="s">
        <v>3699</v>
      </c>
    </row>
    <row r="974" spans="1:13" x14ac:dyDescent="0.35">
      <c r="A974" t="s">
        <v>3688</v>
      </c>
      <c r="B974" t="s">
        <v>3700</v>
      </c>
      <c r="C974">
        <v>1059.99</v>
      </c>
      <c r="D974">
        <v>1059.99</v>
      </c>
      <c r="E974">
        <v>1059.95</v>
      </c>
      <c r="F974">
        <v>1059.95</v>
      </c>
      <c r="G974">
        <v>1059.95</v>
      </c>
      <c r="H974">
        <v>1057.06</v>
      </c>
      <c r="I974">
        <v>120</v>
      </c>
      <c r="J974">
        <v>127195.7</v>
      </c>
      <c r="K974" s="13">
        <v>43994</v>
      </c>
      <c r="L974">
        <v>7</v>
      </c>
      <c r="M974" t="s">
        <v>3701</v>
      </c>
    </row>
    <row r="975" spans="1:13" x14ac:dyDescent="0.35">
      <c r="A975" t="s">
        <v>3688</v>
      </c>
      <c r="B975" t="s">
        <v>3702</v>
      </c>
      <c r="C975">
        <v>1015</v>
      </c>
      <c r="D975">
        <v>1015</v>
      </c>
      <c r="E975">
        <v>1015</v>
      </c>
      <c r="F975">
        <v>1015</v>
      </c>
      <c r="G975">
        <v>1015</v>
      </c>
      <c r="H975">
        <v>995</v>
      </c>
      <c r="I975">
        <v>30</v>
      </c>
      <c r="J975">
        <v>30450</v>
      </c>
      <c r="K975" s="13">
        <v>43994</v>
      </c>
      <c r="L975">
        <v>2</v>
      </c>
      <c r="M975" t="s">
        <v>3703</v>
      </c>
    </row>
    <row r="976" spans="1:13" x14ac:dyDescent="0.35">
      <c r="A976" t="s">
        <v>3688</v>
      </c>
      <c r="B976" t="s">
        <v>3704</v>
      </c>
      <c r="C976">
        <v>1047.99</v>
      </c>
      <c r="D976">
        <v>1047.99</v>
      </c>
      <c r="E976">
        <v>1044.5999999999999</v>
      </c>
      <c r="F976">
        <v>1044.5999999999999</v>
      </c>
      <c r="G976">
        <v>1044.5999999999999</v>
      </c>
      <c r="H976">
        <v>1039</v>
      </c>
      <c r="I976">
        <v>40</v>
      </c>
      <c r="J976">
        <v>41851.800000000003</v>
      </c>
      <c r="K976" s="13">
        <v>43994</v>
      </c>
      <c r="L976">
        <v>3</v>
      </c>
      <c r="M976" t="s">
        <v>3705</v>
      </c>
    </row>
    <row r="977" spans="1:13" x14ac:dyDescent="0.35">
      <c r="A977" t="s">
        <v>3706</v>
      </c>
      <c r="B977" t="s">
        <v>3430</v>
      </c>
      <c r="C977">
        <v>2017.01</v>
      </c>
      <c r="D977">
        <v>2017.25</v>
      </c>
      <c r="E977">
        <v>2017.01</v>
      </c>
      <c r="F977">
        <v>2017.25</v>
      </c>
      <c r="G977">
        <v>2017.25</v>
      </c>
      <c r="H977">
        <v>2021</v>
      </c>
      <c r="I977">
        <v>40</v>
      </c>
      <c r="J977">
        <v>80685.2</v>
      </c>
      <c r="K977" s="13">
        <v>43994</v>
      </c>
      <c r="L977">
        <v>2</v>
      </c>
      <c r="M977" t="s">
        <v>3707</v>
      </c>
    </row>
    <row r="978" spans="1:13" x14ac:dyDescent="0.35">
      <c r="A978" t="s">
        <v>3706</v>
      </c>
      <c r="B978" t="s">
        <v>3510</v>
      </c>
      <c r="C978">
        <v>1028.0999999999999</v>
      </c>
      <c r="D978">
        <v>1028.0999999999999</v>
      </c>
      <c r="E978">
        <v>1028.0999999999999</v>
      </c>
      <c r="F978">
        <v>1028.0999999999999</v>
      </c>
      <c r="G978">
        <v>1028.0999999999999</v>
      </c>
      <c r="H978">
        <v>1030</v>
      </c>
      <c r="I978">
        <v>10</v>
      </c>
      <c r="J978">
        <v>10281</v>
      </c>
      <c r="K978" s="13">
        <v>43994</v>
      </c>
      <c r="L978">
        <v>1</v>
      </c>
      <c r="M978" t="s">
        <v>3708</v>
      </c>
    </row>
    <row r="979" spans="1:13" x14ac:dyDescent="0.35">
      <c r="A979" t="s">
        <v>3706</v>
      </c>
      <c r="B979" t="s">
        <v>3512</v>
      </c>
      <c r="C979">
        <v>1974.25</v>
      </c>
      <c r="D979">
        <v>1974.25</v>
      </c>
      <c r="E979">
        <v>1925</v>
      </c>
      <c r="F979">
        <v>1969.55</v>
      </c>
      <c r="G979">
        <v>1965.01</v>
      </c>
      <c r="H979">
        <v>1974.25</v>
      </c>
      <c r="I979">
        <v>2490</v>
      </c>
      <c r="J979">
        <v>4849837.04</v>
      </c>
      <c r="K979" s="13">
        <v>43994</v>
      </c>
      <c r="L979">
        <v>52</v>
      </c>
      <c r="M979" t="s">
        <v>3709</v>
      </c>
    </row>
    <row r="980" spans="1:13" x14ac:dyDescent="0.35">
      <c r="A980" t="s">
        <v>3706</v>
      </c>
      <c r="B980" t="s">
        <v>3514</v>
      </c>
      <c r="C980">
        <v>1008</v>
      </c>
      <c r="D980">
        <v>1015</v>
      </c>
      <c r="E980">
        <v>1000.1</v>
      </c>
      <c r="F980">
        <v>1010.5</v>
      </c>
      <c r="G980">
        <v>1010.5</v>
      </c>
      <c r="H980">
        <v>1012</v>
      </c>
      <c r="I980">
        <v>200</v>
      </c>
      <c r="J980">
        <v>201954.5</v>
      </c>
      <c r="K980" s="13">
        <v>43994</v>
      </c>
      <c r="L980">
        <v>9</v>
      </c>
      <c r="M980" t="s">
        <v>3710</v>
      </c>
    </row>
    <row r="981" spans="1:13" x14ac:dyDescent="0.35">
      <c r="A981" t="s">
        <v>3706</v>
      </c>
      <c r="B981" t="s">
        <v>3452</v>
      </c>
      <c r="C981">
        <v>2077</v>
      </c>
      <c r="D981">
        <v>2080</v>
      </c>
      <c r="E981">
        <v>2077</v>
      </c>
      <c r="F981">
        <v>2079.94</v>
      </c>
      <c r="G981">
        <v>2080</v>
      </c>
      <c r="H981">
        <v>2076.5500000000002</v>
      </c>
      <c r="I981">
        <v>608</v>
      </c>
      <c r="J981">
        <v>1264197.2</v>
      </c>
      <c r="K981" s="13">
        <v>43994</v>
      </c>
      <c r="L981">
        <v>16</v>
      </c>
      <c r="M981" t="s">
        <v>3711</v>
      </c>
    </row>
    <row r="982" spans="1:13" x14ac:dyDescent="0.35">
      <c r="A982" t="s">
        <v>1649</v>
      </c>
      <c r="B982" t="s">
        <v>18</v>
      </c>
      <c r="C982">
        <v>14.5</v>
      </c>
      <c r="D982">
        <v>14.55</v>
      </c>
      <c r="E982">
        <v>13.95</v>
      </c>
      <c r="F982">
        <v>14.55</v>
      </c>
      <c r="G982">
        <v>14.55</v>
      </c>
      <c r="H982">
        <v>13.9</v>
      </c>
      <c r="I982">
        <v>1730613</v>
      </c>
      <c r="J982">
        <v>24964988.75</v>
      </c>
      <c r="K982" s="13">
        <v>43994</v>
      </c>
      <c r="L982">
        <v>1827</v>
      </c>
      <c r="M982" t="s">
        <v>1650</v>
      </c>
    </row>
    <row r="983" spans="1:13" x14ac:dyDescent="0.35">
      <c r="A983" t="s">
        <v>1651</v>
      </c>
      <c r="B983" t="s">
        <v>18</v>
      </c>
      <c r="C983">
        <v>1552</v>
      </c>
      <c r="D983">
        <v>1629</v>
      </c>
      <c r="E983">
        <v>1552</v>
      </c>
      <c r="F983">
        <v>1616.85</v>
      </c>
      <c r="G983">
        <v>1607</v>
      </c>
      <c r="H983">
        <v>1618</v>
      </c>
      <c r="I983">
        <v>47704</v>
      </c>
      <c r="J983">
        <v>75952908.299999997</v>
      </c>
      <c r="K983" s="13">
        <v>43994</v>
      </c>
      <c r="L983">
        <v>4873</v>
      </c>
      <c r="M983" t="s">
        <v>1652</v>
      </c>
    </row>
    <row r="984" spans="1:13" x14ac:dyDescent="0.35">
      <c r="A984" t="s">
        <v>1653</v>
      </c>
      <c r="B984" t="s">
        <v>18</v>
      </c>
      <c r="C984">
        <v>26</v>
      </c>
      <c r="D984">
        <v>27.7</v>
      </c>
      <c r="E984">
        <v>26</v>
      </c>
      <c r="F984">
        <v>27.05</v>
      </c>
      <c r="G984">
        <v>27.45</v>
      </c>
      <c r="H984">
        <v>27.4</v>
      </c>
      <c r="I984">
        <v>3509</v>
      </c>
      <c r="J984">
        <v>94458.75</v>
      </c>
      <c r="K984" s="13">
        <v>43994</v>
      </c>
      <c r="L984">
        <v>51</v>
      </c>
      <c r="M984" t="s">
        <v>1654</v>
      </c>
    </row>
    <row r="985" spans="1:13" x14ac:dyDescent="0.35">
      <c r="A985" t="s">
        <v>1655</v>
      </c>
      <c r="B985" t="s">
        <v>18</v>
      </c>
      <c r="C985">
        <v>161.35</v>
      </c>
      <c r="D985">
        <v>168.65</v>
      </c>
      <c r="E985">
        <v>160.15</v>
      </c>
      <c r="F985">
        <v>166.25</v>
      </c>
      <c r="G985">
        <v>165.95</v>
      </c>
      <c r="H985">
        <v>169.3</v>
      </c>
      <c r="I985">
        <v>82595</v>
      </c>
      <c r="J985">
        <v>13541459.449999999</v>
      </c>
      <c r="K985" s="13">
        <v>43994</v>
      </c>
      <c r="L985">
        <v>1918</v>
      </c>
      <c r="M985" t="s">
        <v>1656</v>
      </c>
    </row>
    <row r="986" spans="1:13" x14ac:dyDescent="0.35">
      <c r="A986" t="s">
        <v>1657</v>
      </c>
      <c r="B986" t="s">
        <v>18</v>
      </c>
      <c r="C986">
        <v>35.200000000000003</v>
      </c>
      <c r="D986">
        <v>38.799999999999997</v>
      </c>
      <c r="E986">
        <v>35</v>
      </c>
      <c r="F986">
        <v>36.5</v>
      </c>
      <c r="G986">
        <v>36.6</v>
      </c>
      <c r="H986">
        <v>37.15</v>
      </c>
      <c r="I986">
        <v>85904</v>
      </c>
      <c r="J986">
        <v>3133442.7</v>
      </c>
      <c r="K986" s="13">
        <v>43994</v>
      </c>
      <c r="L986">
        <v>500</v>
      </c>
      <c r="M986" t="s">
        <v>1658</v>
      </c>
    </row>
    <row r="987" spans="1:13" x14ac:dyDescent="0.35">
      <c r="A987" t="s">
        <v>1659</v>
      </c>
      <c r="B987" t="s">
        <v>18</v>
      </c>
      <c r="C987">
        <v>465.05</v>
      </c>
      <c r="D987">
        <v>494.5</v>
      </c>
      <c r="E987">
        <v>465.05</v>
      </c>
      <c r="F987">
        <v>492.55</v>
      </c>
      <c r="G987">
        <v>491.05</v>
      </c>
      <c r="H987">
        <v>488.3</v>
      </c>
      <c r="I987">
        <v>601399</v>
      </c>
      <c r="J987">
        <v>290632136.35000002</v>
      </c>
      <c r="K987" s="13">
        <v>43994</v>
      </c>
      <c r="L987">
        <v>16039</v>
      </c>
      <c r="M987" t="s">
        <v>1660</v>
      </c>
    </row>
    <row r="988" spans="1:13" x14ac:dyDescent="0.35">
      <c r="A988" t="s">
        <v>1661</v>
      </c>
      <c r="B988" t="s">
        <v>18</v>
      </c>
      <c r="C988">
        <v>2577</v>
      </c>
      <c r="D988">
        <v>2700</v>
      </c>
      <c r="E988">
        <v>2541.1999999999998</v>
      </c>
      <c r="F988">
        <v>2660.7</v>
      </c>
      <c r="G988">
        <v>2668</v>
      </c>
      <c r="H988">
        <v>2671.45</v>
      </c>
      <c r="I988">
        <v>2909</v>
      </c>
      <c r="J988">
        <v>7707667.8499999996</v>
      </c>
      <c r="K988" s="13">
        <v>43994</v>
      </c>
      <c r="L988">
        <v>812</v>
      </c>
      <c r="M988" t="s">
        <v>1662</v>
      </c>
    </row>
    <row r="989" spans="1:13" x14ac:dyDescent="0.35">
      <c r="A989" t="s">
        <v>1663</v>
      </c>
      <c r="B989" t="s">
        <v>18</v>
      </c>
      <c r="C989">
        <v>27</v>
      </c>
      <c r="D989">
        <v>28.95</v>
      </c>
      <c r="E989">
        <v>26.25</v>
      </c>
      <c r="F989">
        <v>28.95</v>
      </c>
      <c r="G989">
        <v>28.95</v>
      </c>
      <c r="H989">
        <v>27.6</v>
      </c>
      <c r="I989">
        <v>17454492</v>
      </c>
      <c r="J989">
        <v>476003862.44999999</v>
      </c>
      <c r="K989" s="13">
        <v>43994</v>
      </c>
      <c r="L989">
        <v>26587</v>
      </c>
      <c r="M989" t="s">
        <v>1664</v>
      </c>
    </row>
    <row r="990" spans="1:13" x14ac:dyDescent="0.35">
      <c r="A990" t="s">
        <v>3712</v>
      </c>
      <c r="B990" t="s">
        <v>3381</v>
      </c>
      <c r="C990">
        <v>5.2</v>
      </c>
      <c r="D990">
        <v>5.7</v>
      </c>
      <c r="E990">
        <v>5.2</v>
      </c>
      <c r="F990">
        <v>5.7</v>
      </c>
      <c r="G990">
        <v>5.7</v>
      </c>
      <c r="H990">
        <v>5.45</v>
      </c>
      <c r="I990">
        <v>13000</v>
      </c>
      <c r="J990">
        <v>70400</v>
      </c>
      <c r="K990" s="13">
        <v>43994</v>
      </c>
      <c r="L990">
        <v>9</v>
      </c>
      <c r="M990" t="s">
        <v>3713</v>
      </c>
    </row>
    <row r="991" spans="1:13" x14ac:dyDescent="0.35">
      <c r="A991" t="s">
        <v>1665</v>
      </c>
      <c r="B991" t="s">
        <v>18</v>
      </c>
      <c r="C991">
        <v>42.25</v>
      </c>
      <c r="D991">
        <v>45.5</v>
      </c>
      <c r="E991">
        <v>37.75</v>
      </c>
      <c r="F991">
        <v>44.5</v>
      </c>
      <c r="G991">
        <v>44.5</v>
      </c>
      <c r="H991">
        <v>43.95</v>
      </c>
      <c r="I991">
        <v>549</v>
      </c>
      <c r="J991">
        <v>23817.8</v>
      </c>
      <c r="K991" s="13">
        <v>43994</v>
      </c>
      <c r="L991">
        <v>35</v>
      </c>
      <c r="M991" t="s">
        <v>1666</v>
      </c>
    </row>
    <row r="992" spans="1:13" x14ac:dyDescent="0.35">
      <c r="A992" t="s">
        <v>1667</v>
      </c>
      <c r="B992" t="s">
        <v>18</v>
      </c>
      <c r="C992">
        <v>207</v>
      </c>
      <c r="D992">
        <v>213</v>
      </c>
      <c r="E992">
        <v>200</v>
      </c>
      <c r="F992">
        <v>210.1</v>
      </c>
      <c r="G992">
        <v>208</v>
      </c>
      <c r="H992">
        <v>211</v>
      </c>
      <c r="I992">
        <v>21811</v>
      </c>
      <c r="J992">
        <v>4487063.6500000004</v>
      </c>
      <c r="K992" s="13">
        <v>43994</v>
      </c>
      <c r="L992">
        <v>1068</v>
      </c>
      <c r="M992" t="s">
        <v>1668</v>
      </c>
    </row>
    <row r="993" spans="1:13" x14ac:dyDescent="0.35">
      <c r="A993" t="s">
        <v>1669</v>
      </c>
      <c r="B993" t="s">
        <v>18</v>
      </c>
      <c r="C993">
        <v>2.5499999999999998</v>
      </c>
      <c r="D993">
        <v>2.5499999999999998</v>
      </c>
      <c r="E993">
        <v>2.35</v>
      </c>
      <c r="F993">
        <v>2.4</v>
      </c>
      <c r="G993">
        <v>2.5</v>
      </c>
      <c r="H993">
        <v>2.4500000000000002</v>
      </c>
      <c r="I993">
        <v>51276</v>
      </c>
      <c r="J993">
        <v>123120</v>
      </c>
      <c r="K993" s="13">
        <v>43994</v>
      </c>
      <c r="L993">
        <v>78</v>
      </c>
      <c r="M993" t="s">
        <v>1670</v>
      </c>
    </row>
    <row r="994" spans="1:13" x14ac:dyDescent="0.35">
      <c r="A994" t="s">
        <v>1671</v>
      </c>
      <c r="B994" t="s">
        <v>18</v>
      </c>
      <c r="C994">
        <v>46.55</v>
      </c>
      <c r="D994">
        <v>46.75</v>
      </c>
      <c r="E994">
        <v>44.75</v>
      </c>
      <c r="F994">
        <v>45.45</v>
      </c>
      <c r="G994">
        <v>44.75</v>
      </c>
      <c r="H994">
        <v>46.55</v>
      </c>
      <c r="I994">
        <v>2829</v>
      </c>
      <c r="J994">
        <v>129839.6</v>
      </c>
      <c r="K994" s="13">
        <v>43994</v>
      </c>
      <c r="L994">
        <v>65</v>
      </c>
      <c r="M994" t="s">
        <v>1672</v>
      </c>
    </row>
    <row r="995" spans="1:13" x14ac:dyDescent="0.35">
      <c r="A995" t="s">
        <v>1673</v>
      </c>
      <c r="B995" t="s">
        <v>18</v>
      </c>
      <c r="C995">
        <v>122.35</v>
      </c>
      <c r="D995">
        <v>129.4</v>
      </c>
      <c r="E995">
        <v>122.35</v>
      </c>
      <c r="F995">
        <v>126.95</v>
      </c>
      <c r="G995">
        <v>126.9</v>
      </c>
      <c r="H995">
        <v>130.19999999999999</v>
      </c>
      <c r="I995">
        <v>168430</v>
      </c>
      <c r="J995">
        <v>21166244.399999999</v>
      </c>
      <c r="K995" s="13">
        <v>43994</v>
      </c>
      <c r="L995">
        <v>4365</v>
      </c>
      <c r="M995" t="s">
        <v>1674</v>
      </c>
    </row>
    <row r="996" spans="1:13" x14ac:dyDescent="0.35">
      <c r="A996" t="s">
        <v>1675</v>
      </c>
      <c r="B996" t="s">
        <v>18</v>
      </c>
      <c r="C996">
        <v>260</v>
      </c>
      <c r="D996">
        <v>283</v>
      </c>
      <c r="E996">
        <v>258</v>
      </c>
      <c r="F996">
        <v>281.14999999999998</v>
      </c>
      <c r="G996">
        <v>280.14999999999998</v>
      </c>
      <c r="H996">
        <v>271.64999999999998</v>
      </c>
      <c r="I996">
        <v>8317466</v>
      </c>
      <c r="J996">
        <v>2249203828.3499999</v>
      </c>
      <c r="K996" s="13">
        <v>43994</v>
      </c>
      <c r="L996">
        <v>90415</v>
      </c>
      <c r="M996" t="s">
        <v>1676</v>
      </c>
    </row>
    <row r="997" spans="1:13" x14ac:dyDescent="0.35">
      <c r="A997" t="s">
        <v>1677</v>
      </c>
      <c r="B997" t="s">
        <v>18</v>
      </c>
      <c r="C997">
        <v>21.4</v>
      </c>
      <c r="D997">
        <v>23.9</v>
      </c>
      <c r="E997">
        <v>21.3</v>
      </c>
      <c r="F997">
        <v>23.14</v>
      </c>
      <c r="G997">
        <v>23</v>
      </c>
      <c r="H997">
        <v>24.34</v>
      </c>
      <c r="I997">
        <v>63039</v>
      </c>
      <c r="J997">
        <v>1469733.72</v>
      </c>
      <c r="K997" s="13">
        <v>43994</v>
      </c>
      <c r="L997">
        <v>144</v>
      </c>
      <c r="M997" t="s">
        <v>1678</v>
      </c>
    </row>
    <row r="998" spans="1:13" x14ac:dyDescent="0.35">
      <c r="A998" t="s">
        <v>1679</v>
      </c>
      <c r="B998" t="s">
        <v>18</v>
      </c>
      <c r="C998">
        <v>101.3</v>
      </c>
      <c r="D998">
        <v>105.8</v>
      </c>
      <c r="E998">
        <v>98</v>
      </c>
      <c r="F998">
        <v>105.37</v>
      </c>
      <c r="G998">
        <v>105.4</v>
      </c>
      <c r="H998">
        <v>104.85</v>
      </c>
      <c r="I998">
        <v>572</v>
      </c>
      <c r="J998">
        <v>59361.93</v>
      </c>
      <c r="K998" s="13">
        <v>43994</v>
      </c>
      <c r="L998">
        <v>45</v>
      </c>
      <c r="M998" t="s">
        <v>1680</v>
      </c>
    </row>
    <row r="999" spans="1:13" x14ac:dyDescent="0.35">
      <c r="A999" t="s">
        <v>3317</v>
      </c>
      <c r="B999" t="s">
        <v>18</v>
      </c>
      <c r="C999">
        <v>415</v>
      </c>
      <c r="D999">
        <v>433</v>
      </c>
      <c r="E999">
        <v>415</v>
      </c>
      <c r="F999">
        <v>415</v>
      </c>
      <c r="G999">
        <v>415</v>
      </c>
      <c r="H999">
        <v>410</v>
      </c>
      <c r="I999">
        <v>4</v>
      </c>
      <c r="J999">
        <v>1678</v>
      </c>
      <c r="K999" s="13">
        <v>43994</v>
      </c>
      <c r="L999">
        <v>3</v>
      </c>
      <c r="M999" t="s">
        <v>3318</v>
      </c>
    </row>
    <row r="1000" spans="1:13" x14ac:dyDescent="0.35">
      <c r="A1000" t="s">
        <v>1681</v>
      </c>
      <c r="B1000" t="s">
        <v>18</v>
      </c>
      <c r="C1000">
        <v>100.5</v>
      </c>
      <c r="D1000">
        <v>104</v>
      </c>
      <c r="E1000">
        <v>100.5</v>
      </c>
      <c r="F1000">
        <v>103.69</v>
      </c>
      <c r="G1000">
        <v>103</v>
      </c>
      <c r="H1000">
        <v>105.65</v>
      </c>
      <c r="I1000">
        <v>731</v>
      </c>
      <c r="J1000">
        <v>74969.09</v>
      </c>
      <c r="K1000" s="13">
        <v>43994</v>
      </c>
      <c r="L1000">
        <v>28</v>
      </c>
      <c r="M1000" t="s">
        <v>1682</v>
      </c>
    </row>
    <row r="1001" spans="1:13" x14ac:dyDescent="0.35">
      <c r="A1001" t="s">
        <v>1683</v>
      </c>
      <c r="B1001" t="s">
        <v>18</v>
      </c>
      <c r="C1001">
        <v>155</v>
      </c>
      <c r="D1001">
        <v>164.9</v>
      </c>
      <c r="E1001">
        <v>154.30000000000001</v>
      </c>
      <c r="F1001">
        <v>163.75</v>
      </c>
      <c r="G1001">
        <v>164</v>
      </c>
      <c r="H1001">
        <v>164.3</v>
      </c>
      <c r="I1001">
        <v>55113</v>
      </c>
      <c r="J1001">
        <v>8892657.75</v>
      </c>
      <c r="K1001" s="13">
        <v>43994</v>
      </c>
      <c r="L1001">
        <v>1518</v>
      </c>
      <c r="M1001" t="s">
        <v>1684</v>
      </c>
    </row>
    <row r="1002" spans="1:13" x14ac:dyDescent="0.35">
      <c r="A1002" t="s">
        <v>1685</v>
      </c>
      <c r="B1002" t="s">
        <v>18</v>
      </c>
      <c r="C1002">
        <v>154.69999999999999</v>
      </c>
      <c r="D1002">
        <v>154.80000000000001</v>
      </c>
      <c r="E1002">
        <v>142.94999999999999</v>
      </c>
      <c r="F1002">
        <v>153</v>
      </c>
      <c r="G1002">
        <v>153</v>
      </c>
      <c r="H1002">
        <v>152.30000000000001</v>
      </c>
      <c r="I1002">
        <v>1030</v>
      </c>
      <c r="J1002">
        <v>152314.65</v>
      </c>
      <c r="K1002" s="13">
        <v>43994</v>
      </c>
      <c r="L1002">
        <v>156</v>
      </c>
      <c r="M1002" t="s">
        <v>1686</v>
      </c>
    </row>
    <row r="1003" spans="1:13" x14ac:dyDescent="0.35">
      <c r="A1003" t="s">
        <v>1687</v>
      </c>
      <c r="B1003" t="s">
        <v>18</v>
      </c>
      <c r="C1003">
        <v>510.1</v>
      </c>
      <c r="D1003">
        <v>539</v>
      </c>
      <c r="E1003">
        <v>506</v>
      </c>
      <c r="F1003">
        <v>528</v>
      </c>
      <c r="G1003">
        <v>531.70000000000005</v>
      </c>
      <c r="H1003">
        <v>523</v>
      </c>
      <c r="I1003">
        <v>24947</v>
      </c>
      <c r="J1003">
        <v>13043565.949999999</v>
      </c>
      <c r="K1003" s="13">
        <v>43994</v>
      </c>
      <c r="L1003">
        <v>1364</v>
      </c>
      <c r="M1003" t="s">
        <v>1688</v>
      </c>
    </row>
    <row r="1004" spans="1:13" x14ac:dyDescent="0.35">
      <c r="A1004" t="s">
        <v>1689</v>
      </c>
      <c r="B1004" t="s">
        <v>18</v>
      </c>
      <c r="C1004">
        <v>999.99</v>
      </c>
      <c r="D1004">
        <v>1000.01</v>
      </c>
      <c r="E1004">
        <v>999.36</v>
      </c>
      <c r="F1004">
        <v>1000</v>
      </c>
      <c r="G1004">
        <v>1000</v>
      </c>
      <c r="H1004">
        <v>1000</v>
      </c>
      <c r="I1004">
        <v>902486</v>
      </c>
      <c r="J1004">
        <v>902487961.76999998</v>
      </c>
      <c r="K1004" s="13">
        <v>43994</v>
      </c>
      <c r="L1004">
        <v>3940</v>
      </c>
      <c r="M1004" t="s">
        <v>1690</v>
      </c>
    </row>
    <row r="1005" spans="1:13" x14ac:dyDescent="0.35">
      <c r="A1005" t="s">
        <v>1691</v>
      </c>
      <c r="B1005" t="s">
        <v>18</v>
      </c>
      <c r="C1005">
        <v>1000.04</v>
      </c>
      <c r="D1005">
        <v>1000.04</v>
      </c>
      <c r="E1005">
        <v>999.99</v>
      </c>
      <c r="F1005">
        <v>999.99</v>
      </c>
      <c r="G1005">
        <v>1000.01</v>
      </c>
      <c r="H1005">
        <v>999.99</v>
      </c>
      <c r="I1005">
        <v>12556</v>
      </c>
      <c r="J1005">
        <v>12555987.029999999</v>
      </c>
      <c r="K1005" s="13">
        <v>43994</v>
      </c>
      <c r="L1005">
        <v>99</v>
      </c>
      <c r="M1005" t="s">
        <v>1692</v>
      </c>
    </row>
    <row r="1006" spans="1:13" x14ac:dyDescent="0.35">
      <c r="A1006" t="s">
        <v>1693</v>
      </c>
      <c r="B1006" t="s">
        <v>18</v>
      </c>
      <c r="C1006">
        <v>17.7</v>
      </c>
      <c r="D1006">
        <v>17.95</v>
      </c>
      <c r="E1006">
        <v>17.100000000000001</v>
      </c>
      <c r="F1006">
        <v>17.5</v>
      </c>
      <c r="G1006">
        <v>17.350000000000001</v>
      </c>
      <c r="H1006">
        <v>17.649999999999999</v>
      </c>
      <c r="I1006">
        <v>10486</v>
      </c>
      <c r="J1006">
        <v>182098.2</v>
      </c>
      <c r="K1006" s="13">
        <v>43994</v>
      </c>
      <c r="L1006">
        <v>110</v>
      </c>
      <c r="M1006" t="s">
        <v>1694</v>
      </c>
    </row>
    <row r="1007" spans="1:13" x14ac:dyDescent="0.35">
      <c r="A1007" t="s">
        <v>1695</v>
      </c>
      <c r="B1007" t="s">
        <v>18</v>
      </c>
      <c r="C1007">
        <v>25</v>
      </c>
      <c r="D1007">
        <v>26.6</v>
      </c>
      <c r="E1007">
        <v>23.45</v>
      </c>
      <c r="F1007">
        <v>25.05</v>
      </c>
      <c r="G1007">
        <v>24.7</v>
      </c>
      <c r="H1007">
        <v>23.5</v>
      </c>
      <c r="I1007">
        <v>7594</v>
      </c>
      <c r="J1007">
        <v>191092.3</v>
      </c>
      <c r="K1007" s="13">
        <v>43994</v>
      </c>
      <c r="L1007">
        <v>82</v>
      </c>
      <c r="M1007" t="s">
        <v>1696</v>
      </c>
    </row>
    <row r="1008" spans="1:13" x14ac:dyDescent="0.35">
      <c r="A1008" t="s">
        <v>1697</v>
      </c>
      <c r="B1008" t="s">
        <v>18</v>
      </c>
      <c r="C1008">
        <v>50.35</v>
      </c>
      <c r="D1008">
        <v>54.7</v>
      </c>
      <c r="E1008">
        <v>50.35</v>
      </c>
      <c r="F1008">
        <v>52.9</v>
      </c>
      <c r="G1008">
        <v>52.95</v>
      </c>
      <c r="H1008">
        <v>53.85</v>
      </c>
      <c r="I1008">
        <v>32110</v>
      </c>
      <c r="J1008">
        <v>1681005.95</v>
      </c>
      <c r="K1008" s="13">
        <v>43994</v>
      </c>
      <c r="L1008">
        <v>589</v>
      </c>
      <c r="M1008" t="s">
        <v>1698</v>
      </c>
    </row>
    <row r="1009" spans="1:13" x14ac:dyDescent="0.35">
      <c r="A1009" t="s">
        <v>3714</v>
      </c>
      <c r="B1009" t="s">
        <v>3391</v>
      </c>
      <c r="C1009">
        <v>1.3</v>
      </c>
      <c r="D1009">
        <v>1.3</v>
      </c>
      <c r="E1009">
        <v>1.2</v>
      </c>
      <c r="F1009">
        <v>1.3</v>
      </c>
      <c r="G1009">
        <v>1.3</v>
      </c>
      <c r="H1009">
        <v>1.25</v>
      </c>
      <c r="I1009">
        <v>8672</v>
      </c>
      <c r="J1009">
        <v>10855.8</v>
      </c>
      <c r="K1009" s="13">
        <v>43994</v>
      </c>
      <c r="L1009">
        <v>22</v>
      </c>
      <c r="M1009" t="s">
        <v>3715</v>
      </c>
    </row>
    <row r="1010" spans="1:13" x14ac:dyDescent="0.35">
      <c r="A1010" t="s">
        <v>1699</v>
      </c>
      <c r="B1010" t="s">
        <v>18</v>
      </c>
      <c r="C1010">
        <v>0.8</v>
      </c>
      <c r="D1010">
        <v>0.85</v>
      </c>
      <c r="E1010">
        <v>0.8</v>
      </c>
      <c r="F1010">
        <v>0.8</v>
      </c>
      <c r="G1010">
        <v>0.8</v>
      </c>
      <c r="H1010">
        <v>0.85</v>
      </c>
      <c r="I1010">
        <v>1452456</v>
      </c>
      <c r="J1010">
        <v>1162045.3</v>
      </c>
      <c r="K1010" s="13">
        <v>43994</v>
      </c>
      <c r="L1010">
        <v>880</v>
      </c>
      <c r="M1010" t="s">
        <v>1700</v>
      </c>
    </row>
    <row r="1011" spans="1:13" x14ac:dyDescent="0.35">
      <c r="A1011" t="s">
        <v>1701</v>
      </c>
      <c r="B1011" t="s">
        <v>18</v>
      </c>
      <c r="C1011">
        <v>890</v>
      </c>
      <c r="D1011">
        <v>929.9</v>
      </c>
      <c r="E1011">
        <v>890</v>
      </c>
      <c r="F1011">
        <v>926.4</v>
      </c>
      <c r="G1011">
        <v>924.95</v>
      </c>
      <c r="H1011">
        <v>930.45</v>
      </c>
      <c r="I1011">
        <v>5411426</v>
      </c>
      <c r="J1011">
        <v>4906712071.1000004</v>
      </c>
      <c r="K1011" s="13">
        <v>43994</v>
      </c>
      <c r="L1011">
        <v>155442</v>
      </c>
      <c r="M1011" t="s">
        <v>1702</v>
      </c>
    </row>
    <row r="1012" spans="1:13" x14ac:dyDescent="0.35">
      <c r="A1012" t="s">
        <v>1703</v>
      </c>
      <c r="B1012" t="s">
        <v>18</v>
      </c>
      <c r="C1012">
        <v>1820</v>
      </c>
      <c r="D1012">
        <v>1870.4</v>
      </c>
      <c r="E1012">
        <v>1801</v>
      </c>
      <c r="F1012">
        <v>1850</v>
      </c>
      <c r="G1012">
        <v>1850.85</v>
      </c>
      <c r="H1012">
        <v>1870.4</v>
      </c>
      <c r="I1012">
        <v>68224</v>
      </c>
      <c r="J1012">
        <v>125457387.7</v>
      </c>
      <c r="K1012" s="13">
        <v>43994</v>
      </c>
      <c r="L1012">
        <v>8103</v>
      </c>
      <c r="M1012" t="s">
        <v>1704</v>
      </c>
    </row>
    <row r="1013" spans="1:13" x14ac:dyDescent="0.35">
      <c r="A1013" t="s">
        <v>3716</v>
      </c>
      <c r="B1013" t="s">
        <v>3386</v>
      </c>
      <c r="C1013">
        <v>7.21</v>
      </c>
      <c r="D1013">
        <v>7.21</v>
      </c>
      <c r="E1013">
        <v>7.21</v>
      </c>
      <c r="F1013">
        <v>7.21</v>
      </c>
      <c r="G1013">
        <v>7.21</v>
      </c>
      <c r="H1013">
        <v>7.2</v>
      </c>
      <c r="I1013">
        <v>2000</v>
      </c>
      <c r="J1013">
        <v>14420</v>
      </c>
      <c r="K1013" s="13">
        <v>43994</v>
      </c>
      <c r="L1013">
        <v>1</v>
      </c>
      <c r="M1013" t="s">
        <v>3717</v>
      </c>
    </row>
    <row r="1014" spans="1:13" x14ac:dyDescent="0.35">
      <c r="A1014" t="s">
        <v>1705</v>
      </c>
      <c r="B1014" t="s">
        <v>18</v>
      </c>
      <c r="C1014">
        <v>1260</v>
      </c>
      <c r="D1014">
        <v>1354</v>
      </c>
      <c r="E1014">
        <v>1254</v>
      </c>
      <c r="F1014">
        <v>1339.1</v>
      </c>
      <c r="G1014">
        <v>1350</v>
      </c>
      <c r="H1014">
        <v>1317.75</v>
      </c>
      <c r="I1014">
        <v>174306</v>
      </c>
      <c r="J1014">
        <v>229816664.09999999</v>
      </c>
      <c r="K1014" s="13">
        <v>43994</v>
      </c>
      <c r="L1014">
        <v>12340</v>
      </c>
      <c r="M1014" t="s">
        <v>1706</v>
      </c>
    </row>
    <row r="1015" spans="1:13" x14ac:dyDescent="0.35">
      <c r="A1015" t="s">
        <v>1707</v>
      </c>
      <c r="B1015" t="s">
        <v>18</v>
      </c>
      <c r="C1015">
        <v>943</v>
      </c>
      <c r="D1015">
        <v>1000</v>
      </c>
      <c r="E1015">
        <v>910</v>
      </c>
      <c r="F1015">
        <v>979.85</v>
      </c>
      <c r="G1015">
        <v>980</v>
      </c>
      <c r="H1015">
        <v>962.4</v>
      </c>
      <c r="I1015">
        <v>6407</v>
      </c>
      <c r="J1015">
        <v>6126189.5499999998</v>
      </c>
      <c r="K1015" s="13">
        <v>43994</v>
      </c>
      <c r="L1015">
        <v>593</v>
      </c>
      <c r="M1015" t="s">
        <v>1708</v>
      </c>
    </row>
    <row r="1016" spans="1:13" x14ac:dyDescent="0.35">
      <c r="A1016" t="s">
        <v>1709</v>
      </c>
      <c r="B1016" t="s">
        <v>18</v>
      </c>
      <c r="C1016">
        <v>67.849999999999994</v>
      </c>
      <c r="D1016">
        <v>74</v>
      </c>
      <c r="E1016">
        <v>67.849999999999994</v>
      </c>
      <c r="F1016">
        <v>72.900000000000006</v>
      </c>
      <c r="G1016">
        <v>71.55</v>
      </c>
      <c r="H1016">
        <v>71.95</v>
      </c>
      <c r="I1016">
        <v>21106</v>
      </c>
      <c r="J1016">
        <v>1493758.6</v>
      </c>
      <c r="K1016" s="13">
        <v>43994</v>
      </c>
      <c r="L1016">
        <v>667</v>
      </c>
      <c r="M1016" t="s">
        <v>1710</v>
      </c>
    </row>
    <row r="1017" spans="1:13" x14ac:dyDescent="0.35">
      <c r="A1017" t="s">
        <v>1711</v>
      </c>
      <c r="B1017" t="s">
        <v>18</v>
      </c>
      <c r="C1017">
        <v>904.3</v>
      </c>
      <c r="D1017">
        <v>920.5</v>
      </c>
      <c r="E1017">
        <v>901.05</v>
      </c>
      <c r="F1017">
        <v>911.9</v>
      </c>
      <c r="G1017">
        <v>911</v>
      </c>
      <c r="H1017">
        <v>918.3</v>
      </c>
      <c r="I1017">
        <v>2106002</v>
      </c>
      <c r="J1017">
        <v>1920216389.3499999</v>
      </c>
      <c r="K1017" s="13">
        <v>43994</v>
      </c>
      <c r="L1017">
        <v>56210</v>
      </c>
      <c r="M1017" t="s">
        <v>1712</v>
      </c>
    </row>
    <row r="1018" spans="1:13" x14ac:dyDescent="0.35">
      <c r="A1018" t="s">
        <v>1713</v>
      </c>
      <c r="B1018" t="s">
        <v>18</v>
      </c>
      <c r="C1018">
        <v>1004</v>
      </c>
      <c r="D1018">
        <v>1135</v>
      </c>
      <c r="E1018">
        <v>990</v>
      </c>
      <c r="F1018">
        <v>1106.7</v>
      </c>
      <c r="G1018">
        <v>1104</v>
      </c>
      <c r="H1018">
        <v>1056.25</v>
      </c>
      <c r="I1018">
        <v>101771</v>
      </c>
      <c r="J1018">
        <v>110252027.09999999</v>
      </c>
      <c r="K1018" s="13">
        <v>43994</v>
      </c>
      <c r="L1018">
        <v>8787</v>
      </c>
      <c r="M1018" t="s">
        <v>1714</v>
      </c>
    </row>
    <row r="1019" spans="1:13" x14ac:dyDescent="0.35">
      <c r="A1019" t="s">
        <v>1715</v>
      </c>
      <c r="B1019" t="s">
        <v>18</v>
      </c>
      <c r="C1019">
        <v>16.899999999999999</v>
      </c>
      <c r="D1019">
        <v>17.399999999999999</v>
      </c>
      <c r="E1019">
        <v>16</v>
      </c>
      <c r="F1019">
        <v>16.850000000000001</v>
      </c>
      <c r="G1019">
        <v>17</v>
      </c>
      <c r="H1019">
        <v>17.149999999999999</v>
      </c>
      <c r="I1019">
        <v>56729</v>
      </c>
      <c r="J1019">
        <v>950612.85</v>
      </c>
      <c r="K1019" s="13">
        <v>43994</v>
      </c>
      <c r="L1019">
        <v>262</v>
      </c>
      <c r="M1019" t="s">
        <v>1716</v>
      </c>
    </row>
    <row r="1020" spans="1:13" x14ac:dyDescent="0.35">
      <c r="A1020" t="s">
        <v>1717</v>
      </c>
      <c r="B1020" t="s">
        <v>18</v>
      </c>
      <c r="C1020">
        <v>3.5</v>
      </c>
      <c r="D1020">
        <v>3.5</v>
      </c>
      <c r="E1020">
        <v>3.2</v>
      </c>
      <c r="F1020">
        <v>3.4</v>
      </c>
      <c r="G1020">
        <v>3.45</v>
      </c>
      <c r="H1020">
        <v>3.35</v>
      </c>
      <c r="I1020">
        <v>9326</v>
      </c>
      <c r="J1020">
        <v>30637.55</v>
      </c>
      <c r="K1020" s="13">
        <v>43994</v>
      </c>
      <c r="L1020">
        <v>48</v>
      </c>
      <c r="M1020" t="s">
        <v>1718</v>
      </c>
    </row>
    <row r="1021" spans="1:13" x14ac:dyDescent="0.35">
      <c r="A1021" t="s">
        <v>1719</v>
      </c>
      <c r="B1021" t="s">
        <v>18</v>
      </c>
      <c r="C1021">
        <v>457</v>
      </c>
      <c r="D1021">
        <v>512.9</v>
      </c>
      <c r="E1021">
        <v>456.1</v>
      </c>
      <c r="F1021">
        <v>508.45</v>
      </c>
      <c r="G1021">
        <v>510.45</v>
      </c>
      <c r="H1021">
        <v>474.55</v>
      </c>
      <c r="I1021">
        <v>18369324</v>
      </c>
      <c r="J1021">
        <v>8906304693.7000008</v>
      </c>
      <c r="K1021" s="13">
        <v>43994</v>
      </c>
      <c r="L1021">
        <v>207214</v>
      </c>
      <c r="M1021" t="s">
        <v>1720</v>
      </c>
    </row>
    <row r="1022" spans="1:13" x14ac:dyDescent="0.35">
      <c r="A1022" t="s">
        <v>1721</v>
      </c>
      <c r="B1022" t="s">
        <v>18</v>
      </c>
      <c r="C1022">
        <v>148</v>
      </c>
      <c r="D1022">
        <v>165</v>
      </c>
      <c r="E1022">
        <v>146.9</v>
      </c>
      <c r="F1022">
        <v>163.6</v>
      </c>
      <c r="G1022">
        <v>163.6</v>
      </c>
      <c r="H1022">
        <v>156.9</v>
      </c>
      <c r="I1022">
        <v>17222048</v>
      </c>
      <c r="J1022">
        <v>2714838400.8499999</v>
      </c>
      <c r="K1022" s="13">
        <v>43994</v>
      </c>
      <c r="L1022">
        <v>99023</v>
      </c>
      <c r="M1022" t="s">
        <v>1722</v>
      </c>
    </row>
    <row r="1023" spans="1:13" x14ac:dyDescent="0.35">
      <c r="A1023" t="s">
        <v>1721</v>
      </c>
      <c r="B1023" t="s">
        <v>3430</v>
      </c>
      <c r="C1023">
        <v>1054</v>
      </c>
      <c r="D1023">
        <v>1054</v>
      </c>
      <c r="E1023">
        <v>1054</v>
      </c>
      <c r="F1023">
        <v>1054</v>
      </c>
      <c r="G1023">
        <v>1054</v>
      </c>
      <c r="H1023">
        <v>1054.8900000000001</v>
      </c>
      <c r="I1023">
        <v>50</v>
      </c>
      <c r="J1023">
        <v>52700</v>
      </c>
      <c r="K1023" s="13">
        <v>43994</v>
      </c>
      <c r="L1023">
        <v>1</v>
      </c>
      <c r="M1023" t="s">
        <v>3718</v>
      </c>
    </row>
    <row r="1024" spans="1:13" x14ac:dyDescent="0.35">
      <c r="A1024" t="s">
        <v>1723</v>
      </c>
      <c r="B1024" t="s">
        <v>18</v>
      </c>
      <c r="C1024">
        <v>15</v>
      </c>
      <c r="D1024">
        <v>15.24</v>
      </c>
      <c r="E1024">
        <v>14.7</v>
      </c>
      <c r="F1024">
        <v>15.1</v>
      </c>
      <c r="G1024">
        <v>15.2</v>
      </c>
      <c r="H1024">
        <v>15.08</v>
      </c>
      <c r="I1024">
        <v>115407</v>
      </c>
      <c r="J1024">
        <v>1723968.15</v>
      </c>
      <c r="K1024" s="13">
        <v>43994</v>
      </c>
      <c r="L1024">
        <v>350</v>
      </c>
      <c r="M1024" t="s">
        <v>1724</v>
      </c>
    </row>
    <row r="1025" spans="1:13" x14ac:dyDescent="0.35">
      <c r="A1025" t="s">
        <v>3719</v>
      </c>
      <c r="B1025" t="s">
        <v>3386</v>
      </c>
      <c r="C1025">
        <v>3.3</v>
      </c>
      <c r="D1025">
        <v>3.3</v>
      </c>
      <c r="E1025">
        <v>3.3</v>
      </c>
      <c r="F1025">
        <v>3.3</v>
      </c>
      <c r="G1025">
        <v>3.3</v>
      </c>
      <c r="H1025">
        <v>3</v>
      </c>
      <c r="I1025">
        <v>8500</v>
      </c>
      <c r="J1025">
        <v>28050</v>
      </c>
      <c r="K1025" s="13">
        <v>43994</v>
      </c>
      <c r="L1025">
        <v>4</v>
      </c>
      <c r="M1025" t="s">
        <v>3720</v>
      </c>
    </row>
    <row r="1026" spans="1:13" x14ac:dyDescent="0.35">
      <c r="A1026" t="s">
        <v>1725</v>
      </c>
      <c r="B1026" t="s">
        <v>18</v>
      </c>
      <c r="C1026">
        <v>97.63</v>
      </c>
      <c r="D1026">
        <v>98.42</v>
      </c>
      <c r="E1026">
        <v>95.21</v>
      </c>
      <c r="F1026">
        <v>98.38</v>
      </c>
      <c r="G1026">
        <v>98.42</v>
      </c>
      <c r="H1026">
        <v>97.63</v>
      </c>
      <c r="I1026">
        <v>23900</v>
      </c>
      <c r="J1026">
        <v>2283438.42</v>
      </c>
      <c r="K1026" s="13">
        <v>43994</v>
      </c>
      <c r="L1026">
        <v>63</v>
      </c>
      <c r="M1026" t="s">
        <v>1726</v>
      </c>
    </row>
    <row r="1027" spans="1:13" x14ac:dyDescent="0.35">
      <c r="A1027" t="s">
        <v>1727</v>
      </c>
      <c r="B1027" t="s">
        <v>18</v>
      </c>
      <c r="C1027">
        <v>47.25</v>
      </c>
      <c r="D1027">
        <v>53.65</v>
      </c>
      <c r="E1027">
        <v>45.45</v>
      </c>
      <c r="F1027">
        <v>50.15</v>
      </c>
      <c r="G1027">
        <v>49.8</v>
      </c>
      <c r="H1027">
        <v>48.95</v>
      </c>
      <c r="I1027">
        <v>90742</v>
      </c>
      <c r="J1027">
        <v>4615276.75</v>
      </c>
      <c r="K1027" s="13">
        <v>43994</v>
      </c>
      <c r="L1027">
        <v>1130</v>
      </c>
      <c r="M1027" t="s">
        <v>1728</v>
      </c>
    </row>
    <row r="1028" spans="1:13" x14ac:dyDescent="0.35">
      <c r="A1028" t="s">
        <v>3721</v>
      </c>
      <c r="B1028" t="s">
        <v>3381</v>
      </c>
      <c r="C1028">
        <v>61.85</v>
      </c>
      <c r="D1028">
        <v>65.099999999999994</v>
      </c>
      <c r="E1028">
        <v>61.85</v>
      </c>
      <c r="F1028">
        <v>65.099999999999994</v>
      </c>
      <c r="G1028">
        <v>65.099999999999994</v>
      </c>
      <c r="H1028">
        <v>62</v>
      </c>
      <c r="I1028">
        <v>7500</v>
      </c>
      <c r="J1028">
        <v>476600</v>
      </c>
      <c r="K1028" s="13">
        <v>43994</v>
      </c>
      <c r="L1028">
        <v>12</v>
      </c>
      <c r="M1028" t="s">
        <v>3722</v>
      </c>
    </row>
    <row r="1029" spans="1:13" x14ac:dyDescent="0.35">
      <c r="A1029" t="s">
        <v>1729</v>
      </c>
      <c r="B1029" t="s">
        <v>18</v>
      </c>
      <c r="C1029">
        <v>20.2</v>
      </c>
      <c r="D1029">
        <v>22.7</v>
      </c>
      <c r="E1029">
        <v>20.2</v>
      </c>
      <c r="F1029">
        <v>21.55</v>
      </c>
      <c r="G1029">
        <v>21.3</v>
      </c>
      <c r="H1029">
        <v>21.8</v>
      </c>
      <c r="I1029">
        <v>6963</v>
      </c>
      <c r="J1029">
        <v>148739.9</v>
      </c>
      <c r="K1029" s="13">
        <v>43994</v>
      </c>
      <c r="L1029">
        <v>54</v>
      </c>
      <c r="M1029" t="s">
        <v>1730</v>
      </c>
    </row>
    <row r="1030" spans="1:13" x14ac:dyDescent="0.35">
      <c r="A1030" t="s">
        <v>3723</v>
      </c>
      <c r="B1030" t="s">
        <v>3391</v>
      </c>
      <c r="C1030">
        <v>2.4</v>
      </c>
      <c r="D1030">
        <v>2.4</v>
      </c>
      <c r="E1030">
        <v>2.4</v>
      </c>
      <c r="F1030">
        <v>2.4</v>
      </c>
      <c r="G1030">
        <v>2.4</v>
      </c>
      <c r="H1030">
        <v>2.2999999999999998</v>
      </c>
      <c r="I1030">
        <v>3798</v>
      </c>
      <c r="J1030">
        <v>9115.2000000000007</v>
      </c>
      <c r="K1030" s="13">
        <v>43994</v>
      </c>
      <c r="L1030">
        <v>14</v>
      </c>
      <c r="M1030" t="s">
        <v>3724</v>
      </c>
    </row>
    <row r="1031" spans="1:13" x14ac:dyDescent="0.35">
      <c r="A1031" t="s">
        <v>1731</v>
      </c>
      <c r="B1031" t="s">
        <v>18</v>
      </c>
      <c r="C1031">
        <v>16.5</v>
      </c>
      <c r="D1031">
        <v>17.350000000000001</v>
      </c>
      <c r="E1031">
        <v>16.3</v>
      </c>
      <c r="F1031">
        <v>17.350000000000001</v>
      </c>
      <c r="G1031">
        <v>17.350000000000001</v>
      </c>
      <c r="H1031">
        <v>15.8</v>
      </c>
      <c r="I1031">
        <v>1062125</v>
      </c>
      <c r="J1031">
        <v>18137774.800000001</v>
      </c>
      <c r="K1031" s="13">
        <v>43994</v>
      </c>
      <c r="L1031">
        <v>2865</v>
      </c>
      <c r="M1031" t="s">
        <v>1732</v>
      </c>
    </row>
    <row r="1032" spans="1:13" x14ac:dyDescent="0.35">
      <c r="A1032" t="s">
        <v>1733</v>
      </c>
      <c r="B1032" t="s">
        <v>18</v>
      </c>
      <c r="C1032">
        <v>101</v>
      </c>
      <c r="D1032">
        <v>112.75</v>
      </c>
      <c r="E1032">
        <v>101</v>
      </c>
      <c r="F1032">
        <v>110.9</v>
      </c>
      <c r="G1032">
        <v>110.2</v>
      </c>
      <c r="H1032">
        <v>108.55</v>
      </c>
      <c r="I1032">
        <v>33438</v>
      </c>
      <c r="J1032">
        <v>3599179</v>
      </c>
      <c r="K1032" s="13">
        <v>43994</v>
      </c>
      <c r="L1032">
        <v>683</v>
      </c>
      <c r="M1032" t="s">
        <v>1734</v>
      </c>
    </row>
    <row r="1033" spans="1:13" x14ac:dyDescent="0.35">
      <c r="A1033" t="s">
        <v>1735</v>
      </c>
      <c r="B1033" t="s">
        <v>18</v>
      </c>
      <c r="C1033">
        <v>17.850000000000001</v>
      </c>
      <c r="D1033">
        <v>18.5</v>
      </c>
      <c r="E1033">
        <v>16.8</v>
      </c>
      <c r="F1033">
        <v>18.5</v>
      </c>
      <c r="G1033">
        <v>18.5</v>
      </c>
      <c r="H1033">
        <v>17.649999999999999</v>
      </c>
      <c r="I1033">
        <v>6941404</v>
      </c>
      <c r="J1033">
        <v>124418563.3</v>
      </c>
      <c r="K1033" s="13">
        <v>43994</v>
      </c>
      <c r="L1033">
        <v>6801</v>
      </c>
      <c r="M1033" t="s">
        <v>1736</v>
      </c>
    </row>
    <row r="1034" spans="1:13" x14ac:dyDescent="0.35">
      <c r="A1034" t="s">
        <v>1737</v>
      </c>
      <c r="B1034" t="s">
        <v>18</v>
      </c>
      <c r="C1034">
        <v>3.1</v>
      </c>
      <c r="D1034">
        <v>3.1</v>
      </c>
      <c r="E1034">
        <v>2.85</v>
      </c>
      <c r="F1034">
        <v>3.1</v>
      </c>
      <c r="G1034">
        <v>3.1</v>
      </c>
      <c r="H1034">
        <v>2.85</v>
      </c>
      <c r="I1034">
        <v>24069</v>
      </c>
      <c r="J1034">
        <v>73554.7</v>
      </c>
      <c r="K1034" s="13">
        <v>43994</v>
      </c>
      <c r="L1034">
        <v>67</v>
      </c>
      <c r="M1034" t="s">
        <v>1738</v>
      </c>
    </row>
    <row r="1035" spans="1:13" x14ac:dyDescent="0.35">
      <c r="A1035" t="s">
        <v>1739</v>
      </c>
      <c r="B1035" t="s">
        <v>18</v>
      </c>
      <c r="C1035">
        <v>10</v>
      </c>
      <c r="D1035">
        <v>10.65</v>
      </c>
      <c r="E1035">
        <v>9.75</v>
      </c>
      <c r="F1035">
        <v>10.5</v>
      </c>
      <c r="G1035">
        <v>10.5</v>
      </c>
      <c r="H1035">
        <v>10.35</v>
      </c>
      <c r="I1035">
        <v>1679527</v>
      </c>
      <c r="J1035">
        <v>17279149.600000001</v>
      </c>
      <c r="K1035" s="13">
        <v>43994</v>
      </c>
      <c r="L1035">
        <v>2655</v>
      </c>
      <c r="M1035" t="s">
        <v>1740</v>
      </c>
    </row>
    <row r="1036" spans="1:13" x14ac:dyDescent="0.35">
      <c r="A1036" t="s">
        <v>3725</v>
      </c>
      <c r="B1036" t="s">
        <v>3391</v>
      </c>
      <c r="C1036">
        <v>57.15</v>
      </c>
      <c r="D1036">
        <v>60</v>
      </c>
      <c r="E1036">
        <v>57.15</v>
      </c>
      <c r="F1036">
        <v>59.9</v>
      </c>
      <c r="G1036">
        <v>60</v>
      </c>
      <c r="H1036">
        <v>57.15</v>
      </c>
      <c r="I1036">
        <v>507</v>
      </c>
      <c r="J1036">
        <v>30348.7</v>
      </c>
      <c r="K1036" s="13">
        <v>43994</v>
      </c>
      <c r="L1036">
        <v>7</v>
      </c>
      <c r="M1036" t="s">
        <v>3726</v>
      </c>
    </row>
    <row r="1037" spans="1:13" x14ac:dyDescent="0.35">
      <c r="A1037" t="s">
        <v>1741</v>
      </c>
      <c r="B1037" t="s">
        <v>18</v>
      </c>
      <c r="C1037">
        <v>81.55</v>
      </c>
      <c r="D1037">
        <v>86.8</v>
      </c>
      <c r="E1037">
        <v>81.55</v>
      </c>
      <c r="F1037">
        <v>86.15</v>
      </c>
      <c r="G1037">
        <v>86.3</v>
      </c>
      <c r="H1037">
        <v>85.2</v>
      </c>
      <c r="I1037">
        <v>3254</v>
      </c>
      <c r="J1037">
        <v>278143.09999999998</v>
      </c>
      <c r="K1037" s="13">
        <v>43994</v>
      </c>
      <c r="L1037">
        <v>101</v>
      </c>
      <c r="M1037" t="s">
        <v>1742</v>
      </c>
    </row>
    <row r="1038" spans="1:13" x14ac:dyDescent="0.35">
      <c r="A1038" t="s">
        <v>1743</v>
      </c>
      <c r="B1038" t="s">
        <v>18</v>
      </c>
      <c r="C1038">
        <v>131</v>
      </c>
      <c r="D1038">
        <v>147</v>
      </c>
      <c r="E1038">
        <v>129.30000000000001</v>
      </c>
      <c r="F1038">
        <v>144.05000000000001</v>
      </c>
      <c r="G1038">
        <v>145.80000000000001</v>
      </c>
      <c r="H1038">
        <v>133.30000000000001</v>
      </c>
      <c r="I1038">
        <v>641155</v>
      </c>
      <c r="J1038">
        <v>90250739</v>
      </c>
      <c r="K1038" s="13">
        <v>43994</v>
      </c>
      <c r="L1038">
        <v>8115</v>
      </c>
      <c r="M1038" t="s">
        <v>1744</v>
      </c>
    </row>
    <row r="1039" spans="1:13" x14ac:dyDescent="0.35">
      <c r="A1039" t="s">
        <v>1745</v>
      </c>
      <c r="B1039" t="s">
        <v>18</v>
      </c>
      <c r="C1039">
        <v>173</v>
      </c>
      <c r="D1039">
        <v>187</v>
      </c>
      <c r="E1039">
        <v>170.2</v>
      </c>
      <c r="F1039">
        <v>178.85</v>
      </c>
      <c r="G1039">
        <v>178.05</v>
      </c>
      <c r="H1039">
        <v>189.1</v>
      </c>
      <c r="I1039">
        <v>175520</v>
      </c>
      <c r="J1039">
        <v>31010408.149999999</v>
      </c>
      <c r="K1039" s="13">
        <v>43994</v>
      </c>
      <c r="L1039">
        <v>2751</v>
      </c>
      <c r="M1039" t="s">
        <v>1746</v>
      </c>
    </row>
    <row r="1040" spans="1:13" x14ac:dyDescent="0.35">
      <c r="A1040" t="s">
        <v>3727</v>
      </c>
      <c r="B1040" t="s">
        <v>3381</v>
      </c>
      <c r="C1040">
        <v>71.900000000000006</v>
      </c>
      <c r="D1040">
        <v>71.900000000000006</v>
      </c>
      <c r="E1040">
        <v>70.05</v>
      </c>
      <c r="F1040">
        <v>70.05</v>
      </c>
      <c r="G1040">
        <v>70.05</v>
      </c>
      <c r="H1040">
        <v>72.099999999999994</v>
      </c>
      <c r="I1040">
        <v>3000</v>
      </c>
      <c r="J1040">
        <v>212925</v>
      </c>
      <c r="K1040" s="13">
        <v>43994</v>
      </c>
      <c r="L1040">
        <v>2</v>
      </c>
      <c r="M1040" t="s">
        <v>3728</v>
      </c>
    </row>
    <row r="1041" spans="1:13" x14ac:dyDescent="0.35">
      <c r="A1041" t="s">
        <v>1747</v>
      </c>
      <c r="B1041" t="s">
        <v>18</v>
      </c>
      <c r="C1041">
        <v>96.5</v>
      </c>
      <c r="D1041">
        <v>103</v>
      </c>
      <c r="E1041">
        <v>96.5</v>
      </c>
      <c r="F1041">
        <v>101.6</v>
      </c>
      <c r="G1041">
        <v>101.95</v>
      </c>
      <c r="H1041">
        <v>101.25</v>
      </c>
      <c r="I1041">
        <v>55033</v>
      </c>
      <c r="J1041">
        <v>5418444.5999999996</v>
      </c>
      <c r="K1041" s="13">
        <v>43994</v>
      </c>
      <c r="L1041">
        <v>1467</v>
      </c>
      <c r="M1041" t="s">
        <v>1748</v>
      </c>
    </row>
    <row r="1042" spans="1:13" x14ac:dyDescent="0.35">
      <c r="A1042" t="s">
        <v>1749</v>
      </c>
      <c r="B1042" t="s">
        <v>18</v>
      </c>
      <c r="C1042">
        <v>205.2</v>
      </c>
      <c r="D1042">
        <v>213.4</v>
      </c>
      <c r="E1042">
        <v>203</v>
      </c>
      <c r="F1042">
        <v>208.5</v>
      </c>
      <c r="G1042">
        <v>207.7</v>
      </c>
      <c r="H1042">
        <v>215.8</v>
      </c>
      <c r="I1042">
        <v>158831</v>
      </c>
      <c r="J1042">
        <v>33113724.899999999</v>
      </c>
      <c r="K1042" s="13">
        <v>43994</v>
      </c>
      <c r="L1042">
        <v>4458</v>
      </c>
      <c r="M1042" t="s">
        <v>1750</v>
      </c>
    </row>
    <row r="1043" spans="1:13" x14ac:dyDescent="0.35">
      <c r="A1043" t="s">
        <v>1751</v>
      </c>
      <c r="B1043" t="s">
        <v>18</v>
      </c>
      <c r="C1043">
        <v>280.05</v>
      </c>
      <c r="D1043">
        <v>290</v>
      </c>
      <c r="E1043">
        <v>275</v>
      </c>
      <c r="F1043">
        <v>288.10000000000002</v>
      </c>
      <c r="G1043">
        <v>290</v>
      </c>
      <c r="H1043">
        <v>293.45</v>
      </c>
      <c r="I1043">
        <v>40487</v>
      </c>
      <c r="J1043">
        <v>11602813.9</v>
      </c>
      <c r="K1043" s="13">
        <v>43994</v>
      </c>
      <c r="L1043">
        <v>2309</v>
      </c>
      <c r="M1043" t="s">
        <v>1752</v>
      </c>
    </row>
    <row r="1044" spans="1:13" x14ac:dyDescent="0.35">
      <c r="A1044" t="s">
        <v>1753</v>
      </c>
      <c r="B1044" t="s">
        <v>18</v>
      </c>
      <c r="C1044">
        <v>2205</v>
      </c>
      <c r="D1044">
        <v>2444</v>
      </c>
      <c r="E1044">
        <v>2135.75</v>
      </c>
      <c r="F1044">
        <v>2418.85</v>
      </c>
      <c r="G1044">
        <v>2400</v>
      </c>
      <c r="H1044">
        <v>2312.5500000000002</v>
      </c>
      <c r="I1044">
        <v>25302</v>
      </c>
      <c r="J1044">
        <v>58493790.25</v>
      </c>
      <c r="K1044" s="13">
        <v>43994</v>
      </c>
      <c r="L1044">
        <v>3454</v>
      </c>
      <c r="M1044" t="s">
        <v>1754</v>
      </c>
    </row>
    <row r="1045" spans="1:13" x14ac:dyDescent="0.35">
      <c r="A1045" t="s">
        <v>1755</v>
      </c>
      <c r="B1045" t="s">
        <v>18</v>
      </c>
      <c r="C1045">
        <v>205.5</v>
      </c>
      <c r="D1045">
        <v>214.45</v>
      </c>
      <c r="E1045">
        <v>204.35</v>
      </c>
      <c r="F1045">
        <v>213.15</v>
      </c>
      <c r="G1045">
        <v>214</v>
      </c>
      <c r="H1045">
        <v>218.3</v>
      </c>
      <c r="I1045">
        <v>88357</v>
      </c>
      <c r="J1045">
        <v>18533920.25</v>
      </c>
      <c r="K1045" s="13">
        <v>43994</v>
      </c>
      <c r="L1045">
        <v>1984</v>
      </c>
      <c r="M1045" t="s">
        <v>1756</v>
      </c>
    </row>
    <row r="1046" spans="1:13" x14ac:dyDescent="0.35">
      <c r="A1046" t="s">
        <v>1757</v>
      </c>
      <c r="B1046" t="s">
        <v>18</v>
      </c>
      <c r="C1046">
        <v>390.15</v>
      </c>
      <c r="D1046">
        <v>424.95</v>
      </c>
      <c r="E1046">
        <v>389.3</v>
      </c>
      <c r="F1046">
        <v>413.6</v>
      </c>
      <c r="G1046">
        <v>418</v>
      </c>
      <c r="H1046">
        <v>408</v>
      </c>
      <c r="I1046">
        <v>27150</v>
      </c>
      <c r="J1046">
        <v>10977460.050000001</v>
      </c>
      <c r="K1046" s="13">
        <v>43994</v>
      </c>
      <c r="L1046">
        <v>1350</v>
      </c>
      <c r="M1046" t="s">
        <v>1758</v>
      </c>
    </row>
    <row r="1047" spans="1:13" x14ac:dyDescent="0.35">
      <c r="A1047" t="s">
        <v>1759</v>
      </c>
      <c r="B1047" t="s">
        <v>18</v>
      </c>
      <c r="C1047">
        <v>339.55</v>
      </c>
      <c r="D1047">
        <v>370</v>
      </c>
      <c r="E1047">
        <v>338.5</v>
      </c>
      <c r="F1047">
        <v>362.5</v>
      </c>
      <c r="G1047">
        <v>368</v>
      </c>
      <c r="H1047">
        <v>352.7</v>
      </c>
      <c r="I1047">
        <v>16111</v>
      </c>
      <c r="J1047">
        <v>5664504.4000000004</v>
      </c>
      <c r="K1047" s="13">
        <v>43994</v>
      </c>
      <c r="L1047">
        <v>967</v>
      </c>
      <c r="M1047" t="s">
        <v>1760</v>
      </c>
    </row>
    <row r="1048" spans="1:13" x14ac:dyDescent="0.35">
      <c r="A1048" t="s">
        <v>1761</v>
      </c>
      <c r="B1048" t="s">
        <v>18</v>
      </c>
      <c r="C1048">
        <v>28.2</v>
      </c>
      <c r="D1048">
        <v>31.7</v>
      </c>
      <c r="E1048">
        <v>28.2</v>
      </c>
      <c r="F1048">
        <v>30.7</v>
      </c>
      <c r="G1048">
        <v>30.25</v>
      </c>
      <c r="H1048">
        <v>29.6</v>
      </c>
      <c r="I1048">
        <v>60136</v>
      </c>
      <c r="J1048">
        <v>1822993.85</v>
      </c>
      <c r="K1048" s="13">
        <v>43994</v>
      </c>
      <c r="L1048">
        <v>363</v>
      </c>
      <c r="M1048" t="s">
        <v>1762</v>
      </c>
    </row>
    <row r="1049" spans="1:13" x14ac:dyDescent="0.35">
      <c r="A1049" t="s">
        <v>1763</v>
      </c>
      <c r="B1049" t="s">
        <v>18</v>
      </c>
      <c r="C1049">
        <v>101</v>
      </c>
      <c r="D1049">
        <v>101</v>
      </c>
      <c r="E1049">
        <v>95.7</v>
      </c>
      <c r="F1049">
        <v>100.7</v>
      </c>
      <c r="G1049">
        <v>100.7</v>
      </c>
      <c r="H1049">
        <v>100.62</v>
      </c>
      <c r="I1049">
        <v>59308</v>
      </c>
      <c r="J1049">
        <v>5876021.8399999999</v>
      </c>
      <c r="K1049" s="13">
        <v>43994</v>
      </c>
      <c r="L1049">
        <v>282</v>
      </c>
      <c r="M1049" t="s">
        <v>1764</v>
      </c>
    </row>
    <row r="1050" spans="1:13" x14ac:dyDescent="0.35">
      <c r="A1050" t="s">
        <v>1765</v>
      </c>
      <c r="B1050" t="s">
        <v>18</v>
      </c>
      <c r="C1050">
        <v>9.6999999999999993</v>
      </c>
      <c r="D1050">
        <v>9.6999999999999993</v>
      </c>
      <c r="E1050">
        <v>8.1</v>
      </c>
      <c r="F1050">
        <v>9.6999999999999993</v>
      </c>
      <c r="G1050">
        <v>9.6999999999999993</v>
      </c>
      <c r="H1050">
        <v>8.85</v>
      </c>
      <c r="I1050">
        <v>687181</v>
      </c>
      <c r="J1050">
        <v>6458877.4500000002</v>
      </c>
      <c r="K1050" s="13">
        <v>43994</v>
      </c>
      <c r="L1050">
        <v>1694</v>
      </c>
      <c r="M1050" t="s">
        <v>1766</v>
      </c>
    </row>
    <row r="1051" spans="1:13" x14ac:dyDescent="0.35">
      <c r="A1051" t="s">
        <v>1767</v>
      </c>
      <c r="B1051" t="s">
        <v>18</v>
      </c>
      <c r="C1051">
        <v>4.6500000000000004</v>
      </c>
      <c r="D1051">
        <v>4.7</v>
      </c>
      <c r="E1051">
        <v>4.3</v>
      </c>
      <c r="F1051">
        <v>4.3</v>
      </c>
      <c r="G1051">
        <v>4.3</v>
      </c>
      <c r="H1051">
        <v>4.5</v>
      </c>
      <c r="I1051">
        <v>10528</v>
      </c>
      <c r="J1051">
        <v>47401.25</v>
      </c>
      <c r="K1051" s="13">
        <v>43994</v>
      </c>
      <c r="L1051">
        <v>23</v>
      </c>
      <c r="M1051" t="s">
        <v>1768</v>
      </c>
    </row>
    <row r="1052" spans="1:13" x14ac:dyDescent="0.35">
      <c r="A1052" t="s">
        <v>1769</v>
      </c>
      <c r="B1052" t="s">
        <v>18</v>
      </c>
      <c r="C1052">
        <v>38.6</v>
      </c>
      <c r="D1052">
        <v>38.6</v>
      </c>
      <c r="E1052">
        <v>33.950000000000003</v>
      </c>
      <c r="F1052">
        <v>37.15</v>
      </c>
      <c r="G1052">
        <v>37.5</v>
      </c>
      <c r="H1052">
        <v>35.1</v>
      </c>
      <c r="I1052">
        <v>59603</v>
      </c>
      <c r="J1052">
        <v>2229467.65</v>
      </c>
      <c r="K1052" s="13">
        <v>43994</v>
      </c>
      <c r="L1052">
        <v>351</v>
      </c>
      <c r="M1052" t="s">
        <v>1770</v>
      </c>
    </row>
    <row r="1053" spans="1:13" x14ac:dyDescent="0.35">
      <c r="A1053" t="s">
        <v>1771</v>
      </c>
      <c r="B1053" t="s">
        <v>18</v>
      </c>
      <c r="C1053">
        <v>9</v>
      </c>
      <c r="D1053">
        <v>9.75</v>
      </c>
      <c r="E1053">
        <v>8.85</v>
      </c>
      <c r="F1053">
        <v>9.65</v>
      </c>
      <c r="G1053">
        <v>9.65</v>
      </c>
      <c r="H1053">
        <v>9.3000000000000007</v>
      </c>
      <c r="I1053">
        <v>42071</v>
      </c>
      <c r="J1053">
        <v>392760.05</v>
      </c>
      <c r="K1053" s="13">
        <v>43994</v>
      </c>
      <c r="L1053">
        <v>232</v>
      </c>
      <c r="M1053" t="s">
        <v>1772</v>
      </c>
    </row>
    <row r="1054" spans="1:13" x14ac:dyDescent="0.35">
      <c r="A1054" t="s">
        <v>1773</v>
      </c>
      <c r="B1054" t="s">
        <v>18</v>
      </c>
      <c r="C1054">
        <v>17</v>
      </c>
      <c r="D1054">
        <v>18.399999999999999</v>
      </c>
      <c r="E1054">
        <v>16.55</v>
      </c>
      <c r="F1054">
        <v>17.75</v>
      </c>
      <c r="G1054">
        <v>17.55</v>
      </c>
      <c r="H1054">
        <v>17.95</v>
      </c>
      <c r="I1054">
        <v>425207</v>
      </c>
      <c r="J1054">
        <v>7325801.7000000002</v>
      </c>
      <c r="K1054" s="13">
        <v>43994</v>
      </c>
      <c r="L1054">
        <v>1606</v>
      </c>
      <c r="M1054" t="s">
        <v>1774</v>
      </c>
    </row>
    <row r="1055" spans="1:13" x14ac:dyDescent="0.35">
      <c r="A1055" t="s">
        <v>1775</v>
      </c>
      <c r="B1055" t="s">
        <v>18</v>
      </c>
      <c r="C1055">
        <v>135</v>
      </c>
      <c r="D1055">
        <v>147.75</v>
      </c>
      <c r="E1055">
        <v>135</v>
      </c>
      <c r="F1055">
        <v>145.9</v>
      </c>
      <c r="G1055">
        <v>145.5</v>
      </c>
      <c r="H1055">
        <v>145.25</v>
      </c>
      <c r="I1055">
        <v>12404841</v>
      </c>
      <c r="J1055">
        <v>1775498701.45</v>
      </c>
      <c r="K1055" s="13">
        <v>43994</v>
      </c>
      <c r="L1055">
        <v>51112</v>
      </c>
      <c r="M1055" t="s">
        <v>1776</v>
      </c>
    </row>
    <row r="1056" spans="1:13" x14ac:dyDescent="0.35">
      <c r="A1056" t="s">
        <v>3729</v>
      </c>
      <c r="B1056" t="s">
        <v>3391</v>
      </c>
      <c r="C1056">
        <v>59.95</v>
      </c>
      <c r="D1056">
        <v>66.25</v>
      </c>
      <c r="E1056">
        <v>59.95</v>
      </c>
      <c r="F1056">
        <v>66.25</v>
      </c>
      <c r="G1056">
        <v>66.25</v>
      </c>
      <c r="H1056">
        <v>63.1</v>
      </c>
      <c r="I1056">
        <v>59311</v>
      </c>
      <c r="J1056">
        <v>3758178.55</v>
      </c>
      <c r="K1056" s="13">
        <v>43994</v>
      </c>
      <c r="L1056">
        <v>569</v>
      </c>
      <c r="M1056" t="s">
        <v>3730</v>
      </c>
    </row>
    <row r="1057" spans="1:13" x14ac:dyDescent="0.35">
      <c r="A1057" t="s">
        <v>1777</v>
      </c>
      <c r="B1057" t="s">
        <v>18</v>
      </c>
      <c r="C1057">
        <v>36.450000000000003</v>
      </c>
      <c r="D1057">
        <v>37.950000000000003</v>
      </c>
      <c r="E1057">
        <v>35.5</v>
      </c>
      <c r="F1057">
        <v>37.25</v>
      </c>
      <c r="G1057">
        <v>37.4</v>
      </c>
      <c r="H1057">
        <v>37</v>
      </c>
      <c r="I1057">
        <v>398325</v>
      </c>
      <c r="J1057">
        <v>14597871.4</v>
      </c>
      <c r="K1057" s="13">
        <v>43994</v>
      </c>
      <c r="L1057">
        <v>6069</v>
      </c>
      <c r="M1057" t="s">
        <v>1778</v>
      </c>
    </row>
    <row r="1058" spans="1:13" x14ac:dyDescent="0.35">
      <c r="A1058" t="s">
        <v>1779</v>
      </c>
      <c r="B1058" t="s">
        <v>18</v>
      </c>
      <c r="C1058">
        <v>174</v>
      </c>
      <c r="D1058">
        <v>179</v>
      </c>
      <c r="E1058">
        <v>171.05</v>
      </c>
      <c r="F1058">
        <v>177.85</v>
      </c>
      <c r="G1058">
        <v>179</v>
      </c>
      <c r="H1058">
        <v>178.75</v>
      </c>
      <c r="I1058">
        <v>45599</v>
      </c>
      <c r="J1058">
        <v>7961902.0499999998</v>
      </c>
      <c r="K1058" s="13">
        <v>43994</v>
      </c>
      <c r="L1058">
        <v>869</v>
      </c>
      <c r="M1058" t="s">
        <v>1780</v>
      </c>
    </row>
    <row r="1059" spans="1:13" x14ac:dyDescent="0.35">
      <c r="A1059" t="s">
        <v>1781</v>
      </c>
      <c r="B1059" t="s">
        <v>18</v>
      </c>
      <c r="C1059">
        <v>7.6</v>
      </c>
      <c r="D1059">
        <v>7.6</v>
      </c>
      <c r="E1059">
        <v>7.25</v>
      </c>
      <c r="F1059">
        <v>7.25</v>
      </c>
      <c r="G1059">
        <v>7.25</v>
      </c>
      <c r="H1059">
        <v>7.6</v>
      </c>
      <c r="I1059">
        <v>2483</v>
      </c>
      <c r="J1059">
        <v>18402.25</v>
      </c>
      <c r="K1059" s="13">
        <v>43994</v>
      </c>
      <c r="L1059">
        <v>8</v>
      </c>
      <c r="M1059" t="s">
        <v>1782</v>
      </c>
    </row>
    <row r="1060" spans="1:13" x14ac:dyDescent="0.35">
      <c r="A1060" t="s">
        <v>1783</v>
      </c>
      <c r="B1060" t="s">
        <v>18</v>
      </c>
      <c r="C1060">
        <v>41.25</v>
      </c>
      <c r="D1060">
        <v>43.2</v>
      </c>
      <c r="E1060">
        <v>40.549999999999997</v>
      </c>
      <c r="F1060">
        <v>43.1</v>
      </c>
      <c r="G1060">
        <v>43.2</v>
      </c>
      <c r="H1060">
        <v>42.6</v>
      </c>
      <c r="I1060">
        <v>44254</v>
      </c>
      <c r="J1060">
        <v>1856909.45</v>
      </c>
      <c r="K1060" s="13">
        <v>43994</v>
      </c>
      <c r="L1060">
        <v>529</v>
      </c>
      <c r="M1060" t="s">
        <v>1784</v>
      </c>
    </row>
    <row r="1061" spans="1:13" x14ac:dyDescent="0.35">
      <c r="A1061" t="s">
        <v>1785</v>
      </c>
      <c r="B1061" t="s">
        <v>18</v>
      </c>
      <c r="C1061">
        <v>17.600000000000001</v>
      </c>
      <c r="D1061">
        <v>18.649999999999999</v>
      </c>
      <c r="E1061">
        <v>17.2</v>
      </c>
      <c r="F1061">
        <v>18.45</v>
      </c>
      <c r="G1061">
        <v>18.600000000000001</v>
      </c>
      <c r="H1061">
        <v>18</v>
      </c>
      <c r="I1061">
        <v>158400</v>
      </c>
      <c r="J1061">
        <v>2838238.3</v>
      </c>
      <c r="K1061" s="13">
        <v>43994</v>
      </c>
      <c r="L1061">
        <v>796</v>
      </c>
      <c r="M1061" t="s">
        <v>1786</v>
      </c>
    </row>
    <row r="1062" spans="1:13" x14ac:dyDescent="0.35">
      <c r="A1062" t="s">
        <v>1787</v>
      </c>
      <c r="B1062" t="s">
        <v>18</v>
      </c>
      <c r="C1062">
        <v>8.75</v>
      </c>
      <c r="D1062">
        <v>9.35</v>
      </c>
      <c r="E1062">
        <v>8.75</v>
      </c>
      <c r="F1062">
        <v>8.85</v>
      </c>
      <c r="G1062">
        <v>8.75</v>
      </c>
      <c r="H1062">
        <v>9.1999999999999993</v>
      </c>
      <c r="I1062">
        <v>35020</v>
      </c>
      <c r="J1062">
        <v>311048.05</v>
      </c>
      <c r="K1062" s="13">
        <v>43994</v>
      </c>
      <c r="L1062">
        <v>148</v>
      </c>
      <c r="M1062" t="s">
        <v>1788</v>
      </c>
    </row>
    <row r="1063" spans="1:13" x14ac:dyDescent="0.35">
      <c r="A1063" t="s">
        <v>1789</v>
      </c>
      <c r="B1063" t="s">
        <v>18</v>
      </c>
      <c r="C1063">
        <v>248</v>
      </c>
      <c r="D1063">
        <v>251.2</v>
      </c>
      <c r="E1063">
        <v>243.2</v>
      </c>
      <c r="F1063">
        <v>250.01</v>
      </c>
      <c r="G1063">
        <v>250</v>
      </c>
      <c r="H1063">
        <v>247.8</v>
      </c>
      <c r="I1063">
        <v>1268</v>
      </c>
      <c r="J1063">
        <v>312537.90000000002</v>
      </c>
      <c r="K1063" s="13">
        <v>43994</v>
      </c>
      <c r="L1063">
        <v>33</v>
      </c>
      <c r="M1063" t="s">
        <v>1790</v>
      </c>
    </row>
    <row r="1064" spans="1:13" x14ac:dyDescent="0.35">
      <c r="A1064" t="s">
        <v>1791</v>
      </c>
      <c r="B1064" t="s">
        <v>18</v>
      </c>
      <c r="C1064">
        <v>12.55</v>
      </c>
      <c r="D1064">
        <v>13</v>
      </c>
      <c r="E1064">
        <v>12.3</v>
      </c>
      <c r="F1064">
        <v>12.75</v>
      </c>
      <c r="G1064">
        <v>12.75</v>
      </c>
      <c r="H1064">
        <v>12.55</v>
      </c>
      <c r="I1064">
        <v>1755</v>
      </c>
      <c r="J1064">
        <v>21854.55</v>
      </c>
      <c r="K1064" s="13">
        <v>43994</v>
      </c>
      <c r="L1064">
        <v>19</v>
      </c>
      <c r="M1064" t="s">
        <v>1792</v>
      </c>
    </row>
    <row r="1065" spans="1:13" x14ac:dyDescent="0.35">
      <c r="A1065" t="s">
        <v>1793</v>
      </c>
      <c r="B1065" t="s">
        <v>18</v>
      </c>
      <c r="C1065">
        <v>48.1</v>
      </c>
      <c r="D1065">
        <v>52.75</v>
      </c>
      <c r="E1065">
        <v>48.1</v>
      </c>
      <c r="F1065">
        <v>51.85</v>
      </c>
      <c r="G1065">
        <v>51.7</v>
      </c>
      <c r="H1065">
        <v>52.2</v>
      </c>
      <c r="I1065">
        <v>3496</v>
      </c>
      <c r="J1065">
        <v>175495.4</v>
      </c>
      <c r="K1065" s="13">
        <v>43994</v>
      </c>
      <c r="L1065">
        <v>113</v>
      </c>
      <c r="M1065" t="s">
        <v>1794</v>
      </c>
    </row>
    <row r="1066" spans="1:13" x14ac:dyDescent="0.35">
      <c r="A1066" t="s">
        <v>50</v>
      </c>
      <c r="B1066" t="s">
        <v>18</v>
      </c>
      <c r="C1066">
        <v>320</v>
      </c>
      <c r="D1066">
        <v>337.25</v>
      </c>
      <c r="E1066">
        <v>315</v>
      </c>
      <c r="F1066">
        <v>332.8</v>
      </c>
      <c r="G1066">
        <v>331.9</v>
      </c>
      <c r="H1066">
        <v>330.65</v>
      </c>
      <c r="I1066">
        <v>5304971</v>
      </c>
      <c r="J1066">
        <v>1766791233.8</v>
      </c>
      <c r="K1066" s="13">
        <v>43994</v>
      </c>
      <c r="L1066">
        <v>41275</v>
      </c>
      <c r="M1066" t="s">
        <v>1795</v>
      </c>
    </row>
    <row r="1067" spans="1:13" x14ac:dyDescent="0.35">
      <c r="A1067" t="s">
        <v>3731</v>
      </c>
      <c r="B1067" t="s">
        <v>3381</v>
      </c>
      <c r="C1067">
        <v>90.75</v>
      </c>
      <c r="D1067">
        <v>91.75</v>
      </c>
      <c r="E1067">
        <v>90.75</v>
      </c>
      <c r="F1067">
        <v>91.75</v>
      </c>
      <c r="G1067">
        <v>91.75</v>
      </c>
      <c r="H1067">
        <v>91.75</v>
      </c>
      <c r="I1067">
        <v>8000</v>
      </c>
      <c r="J1067">
        <v>730500</v>
      </c>
      <c r="K1067" s="13">
        <v>43994</v>
      </c>
      <c r="L1067">
        <v>4</v>
      </c>
      <c r="M1067" t="s">
        <v>3732</v>
      </c>
    </row>
    <row r="1068" spans="1:13" x14ac:dyDescent="0.35">
      <c r="A1068" t="s">
        <v>1796</v>
      </c>
      <c r="B1068" t="s">
        <v>18</v>
      </c>
      <c r="C1068">
        <v>27.9</v>
      </c>
      <c r="D1068">
        <v>30.65</v>
      </c>
      <c r="E1068">
        <v>27.75</v>
      </c>
      <c r="F1068">
        <v>30.65</v>
      </c>
      <c r="G1068">
        <v>30.65</v>
      </c>
      <c r="H1068">
        <v>29.2</v>
      </c>
      <c r="I1068">
        <v>4529787</v>
      </c>
      <c r="J1068">
        <v>135939873.75</v>
      </c>
      <c r="K1068" s="13">
        <v>43994</v>
      </c>
      <c r="L1068">
        <v>10796</v>
      </c>
      <c r="M1068" t="s">
        <v>1797</v>
      </c>
    </row>
    <row r="1069" spans="1:13" x14ac:dyDescent="0.35">
      <c r="A1069" t="s">
        <v>3733</v>
      </c>
      <c r="B1069" t="s">
        <v>3381</v>
      </c>
      <c r="C1069">
        <v>6.2</v>
      </c>
      <c r="D1069">
        <v>6.2</v>
      </c>
      <c r="E1069">
        <v>6.15</v>
      </c>
      <c r="F1069">
        <v>6.15</v>
      </c>
      <c r="G1069">
        <v>6.15</v>
      </c>
      <c r="H1069">
        <v>6.45</v>
      </c>
      <c r="I1069">
        <v>36000</v>
      </c>
      <c r="J1069">
        <v>221550</v>
      </c>
      <c r="K1069" s="13">
        <v>43994</v>
      </c>
      <c r="L1069">
        <v>11</v>
      </c>
      <c r="M1069" t="s">
        <v>3734</v>
      </c>
    </row>
    <row r="1070" spans="1:13" x14ac:dyDescent="0.35">
      <c r="A1070" t="s">
        <v>51</v>
      </c>
      <c r="B1070" t="s">
        <v>18</v>
      </c>
      <c r="C1070">
        <v>5201</v>
      </c>
      <c r="D1070">
        <v>5608.3</v>
      </c>
      <c r="E1070">
        <v>5201</v>
      </c>
      <c r="F1070">
        <v>5561.75</v>
      </c>
      <c r="G1070">
        <v>5550</v>
      </c>
      <c r="H1070">
        <v>5426.15</v>
      </c>
      <c r="I1070">
        <v>2064628</v>
      </c>
      <c r="J1070">
        <v>11114600580.15</v>
      </c>
      <c r="K1070" s="13">
        <v>43994</v>
      </c>
      <c r="L1070">
        <v>179002</v>
      </c>
      <c r="M1070" t="s">
        <v>1798</v>
      </c>
    </row>
    <row r="1071" spans="1:13" x14ac:dyDescent="0.35">
      <c r="A1071" t="s">
        <v>1799</v>
      </c>
      <c r="B1071" t="s">
        <v>18</v>
      </c>
      <c r="C1071">
        <v>636.9</v>
      </c>
      <c r="D1071">
        <v>690</v>
      </c>
      <c r="E1071">
        <v>636.9</v>
      </c>
      <c r="F1071">
        <v>679.25</v>
      </c>
      <c r="G1071">
        <v>680</v>
      </c>
      <c r="H1071">
        <v>688.75</v>
      </c>
      <c r="I1071">
        <v>24134</v>
      </c>
      <c r="J1071">
        <v>16291028.25</v>
      </c>
      <c r="K1071" s="13">
        <v>43994</v>
      </c>
      <c r="L1071">
        <v>1266</v>
      </c>
      <c r="M1071" t="s">
        <v>1800</v>
      </c>
    </row>
    <row r="1072" spans="1:13" x14ac:dyDescent="0.35">
      <c r="A1072" t="s">
        <v>3735</v>
      </c>
      <c r="B1072" t="s">
        <v>3391</v>
      </c>
      <c r="C1072">
        <v>20.65</v>
      </c>
      <c r="D1072">
        <v>20.65</v>
      </c>
      <c r="E1072">
        <v>20.65</v>
      </c>
      <c r="F1072">
        <v>20.65</v>
      </c>
      <c r="G1072">
        <v>20.65</v>
      </c>
      <c r="H1072">
        <v>20.65</v>
      </c>
      <c r="I1072">
        <v>109</v>
      </c>
      <c r="J1072">
        <v>2250.85</v>
      </c>
      <c r="K1072" s="13">
        <v>43994</v>
      </c>
      <c r="L1072">
        <v>4</v>
      </c>
      <c r="M1072" t="s">
        <v>3736</v>
      </c>
    </row>
    <row r="1073" spans="1:13" x14ac:dyDescent="0.35">
      <c r="A1073" t="s">
        <v>1801</v>
      </c>
      <c r="B1073" t="s">
        <v>18</v>
      </c>
      <c r="C1073">
        <v>281.10000000000002</v>
      </c>
      <c r="D1073">
        <v>289.75</v>
      </c>
      <c r="E1073">
        <v>281.10000000000002</v>
      </c>
      <c r="F1073">
        <v>288.14999999999998</v>
      </c>
      <c r="G1073">
        <v>288</v>
      </c>
      <c r="H1073">
        <v>289</v>
      </c>
      <c r="I1073">
        <v>16097</v>
      </c>
      <c r="J1073">
        <v>4587341.3</v>
      </c>
      <c r="K1073" s="13">
        <v>43994</v>
      </c>
      <c r="L1073">
        <v>741</v>
      </c>
      <c r="M1073" t="s">
        <v>1802</v>
      </c>
    </row>
    <row r="1074" spans="1:13" x14ac:dyDescent="0.35">
      <c r="A1074" t="s">
        <v>1803</v>
      </c>
      <c r="B1074" t="s">
        <v>18</v>
      </c>
      <c r="C1074">
        <v>322.60000000000002</v>
      </c>
      <c r="D1074">
        <v>348.85</v>
      </c>
      <c r="E1074">
        <v>322.60000000000002</v>
      </c>
      <c r="F1074">
        <v>344.3</v>
      </c>
      <c r="G1074">
        <v>348.85</v>
      </c>
      <c r="H1074">
        <v>340.6</v>
      </c>
      <c r="I1074">
        <v>3916</v>
      </c>
      <c r="J1074">
        <v>1306404.3</v>
      </c>
      <c r="K1074" s="13">
        <v>43994</v>
      </c>
      <c r="L1074">
        <v>291</v>
      </c>
      <c r="M1074" t="s">
        <v>1804</v>
      </c>
    </row>
    <row r="1075" spans="1:13" x14ac:dyDescent="0.35">
      <c r="A1075" t="s">
        <v>1805</v>
      </c>
      <c r="B1075" t="s">
        <v>18</v>
      </c>
      <c r="C1075">
        <v>30.05</v>
      </c>
      <c r="D1075">
        <v>33.15</v>
      </c>
      <c r="E1075">
        <v>30.05</v>
      </c>
      <c r="F1075">
        <v>33.1</v>
      </c>
      <c r="G1075">
        <v>33.15</v>
      </c>
      <c r="H1075">
        <v>31.6</v>
      </c>
      <c r="I1075">
        <v>205280</v>
      </c>
      <c r="J1075">
        <v>6450806.9500000002</v>
      </c>
      <c r="K1075" s="13">
        <v>43994</v>
      </c>
      <c r="L1075">
        <v>829</v>
      </c>
      <c r="M1075" t="s">
        <v>1806</v>
      </c>
    </row>
    <row r="1076" spans="1:13" x14ac:dyDescent="0.35">
      <c r="A1076" t="s">
        <v>1807</v>
      </c>
      <c r="B1076" t="s">
        <v>18</v>
      </c>
      <c r="C1076">
        <v>30.9</v>
      </c>
      <c r="D1076">
        <v>32.5</v>
      </c>
      <c r="E1076">
        <v>30.9</v>
      </c>
      <c r="F1076">
        <v>32.4</v>
      </c>
      <c r="G1076">
        <v>32.450000000000003</v>
      </c>
      <c r="H1076">
        <v>32.9</v>
      </c>
      <c r="I1076">
        <v>27515</v>
      </c>
      <c r="J1076">
        <v>877460.5</v>
      </c>
      <c r="K1076" s="13">
        <v>43994</v>
      </c>
      <c r="L1076">
        <v>244</v>
      </c>
      <c r="M1076" t="s">
        <v>1808</v>
      </c>
    </row>
    <row r="1077" spans="1:13" x14ac:dyDescent="0.35">
      <c r="A1077" t="s">
        <v>1809</v>
      </c>
      <c r="B1077" t="s">
        <v>18</v>
      </c>
      <c r="C1077">
        <v>165.3</v>
      </c>
      <c r="D1077">
        <v>171.75</v>
      </c>
      <c r="E1077">
        <v>160.80000000000001</v>
      </c>
      <c r="F1077">
        <v>167.95</v>
      </c>
      <c r="G1077">
        <v>167.9</v>
      </c>
      <c r="H1077">
        <v>171.9</v>
      </c>
      <c r="I1077">
        <v>40607</v>
      </c>
      <c r="J1077">
        <v>6762914</v>
      </c>
      <c r="K1077" s="13">
        <v>43994</v>
      </c>
      <c r="L1077">
        <v>1376</v>
      </c>
      <c r="M1077" t="s">
        <v>1810</v>
      </c>
    </row>
    <row r="1078" spans="1:13" x14ac:dyDescent="0.35">
      <c r="A1078" t="s">
        <v>1811</v>
      </c>
      <c r="B1078" t="s">
        <v>18</v>
      </c>
      <c r="C1078">
        <v>280.05</v>
      </c>
      <c r="D1078">
        <v>284.8</v>
      </c>
      <c r="E1078">
        <v>275.05</v>
      </c>
      <c r="F1078">
        <v>284.14999999999998</v>
      </c>
      <c r="G1078">
        <v>280.5</v>
      </c>
      <c r="H1078">
        <v>285.10000000000002</v>
      </c>
      <c r="I1078">
        <v>4896</v>
      </c>
      <c r="J1078">
        <v>1382950.55</v>
      </c>
      <c r="K1078" s="13">
        <v>43994</v>
      </c>
      <c r="L1078">
        <v>167</v>
      </c>
      <c r="M1078" t="s">
        <v>1812</v>
      </c>
    </row>
    <row r="1079" spans="1:13" x14ac:dyDescent="0.35">
      <c r="A1079" t="s">
        <v>3737</v>
      </c>
      <c r="B1079" t="s">
        <v>3391</v>
      </c>
      <c r="C1079">
        <v>61.5</v>
      </c>
      <c r="D1079">
        <v>61.5</v>
      </c>
      <c r="E1079">
        <v>61.5</v>
      </c>
      <c r="F1079">
        <v>61.5</v>
      </c>
      <c r="G1079">
        <v>61.5</v>
      </c>
      <c r="H1079">
        <v>64.599999999999994</v>
      </c>
      <c r="I1079">
        <v>1000</v>
      </c>
      <c r="J1079">
        <v>61500</v>
      </c>
      <c r="K1079" s="13">
        <v>43994</v>
      </c>
      <c r="L1079">
        <v>1</v>
      </c>
      <c r="M1079" t="s">
        <v>3738</v>
      </c>
    </row>
    <row r="1080" spans="1:13" x14ac:dyDescent="0.35">
      <c r="A1080" t="s">
        <v>3739</v>
      </c>
      <c r="B1080" t="s">
        <v>3391</v>
      </c>
      <c r="C1080">
        <v>4.9000000000000004</v>
      </c>
      <c r="D1080">
        <v>4.9000000000000004</v>
      </c>
      <c r="E1080">
        <v>4.75</v>
      </c>
      <c r="F1080">
        <v>4.75</v>
      </c>
      <c r="G1080">
        <v>4.75</v>
      </c>
      <c r="H1080">
        <v>4.95</v>
      </c>
      <c r="I1080">
        <v>11819</v>
      </c>
      <c r="J1080">
        <v>56610.25</v>
      </c>
      <c r="K1080" s="13">
        <v>43994</v>
      </c>
      <c r="L1080">
        <v>29</v>
      </c>
      <c r="M1080" t="s">
        <v>3740</v>
      </c>
    </row>
    <row r="1081" spans="1:13" x14ac:dyDescent="0.35">
      <c r="A1081" t="s">
        <v>3741</v>
      </c>
      <c r="B1081" t="s">
        <v>3391</v>
      </c>
      <c r="C1081">
        <v>5</v>
      </c>
      <c r="D1081">
        <v>5.3</v>
      </c>
      <c r="E1081">
        <v>5</v>
      </c>
      <c r="F1081">
        <v>5.0999999999999996</v>
      </c>
      <c r="G1081">
        <v>5.0999999999999996</v>
      </c>
      <c r="H1081">
        <v>5.2</v>
      </c>
      <c r="I1081">
        <v>19632</v>
      </c>
      <c r="J1081">
        <v>100180.7</v>
      </c>
      <c r="K1081" s="13">
        <v>43994</v>
      </c>
      <c r="L1081">
        <v>42</v>
      </c>
      <c r="M1081" t="s">
        <v>3742</v>
      </c>
    </row>
    <row r="1082" spans="1:13" x14ac:dyDescent="0.35">
      <c r="A1082" t="s">
        <v>1813</v>
      </c>
      <c r="B1082" t="s">
        <v>18</v>
      </c>
      <c r="C1082">
        <v>25.2</v>
      </c>
      <c r="D1082">
        <v>27.35</v>
      </c>
      <c r="E1082">
        <v>24.6</v>
      </c>
      <c r="F1082">
        <v>27</v>
      </c>
      <c r="G1082">
        <v>27.35</v>
      </c>
      <c r="H1082">
        <v>27</v>
      </c>
      <c r="I1082">
        <v>26518</v>
      </c>
      <c r="J1082">
        <v>704100.35</v>
      </c>
      <c r="K1082" s="13">
        <v>43994</v>
      </c>
      <c r="L1082">
        <v>378</v>
      </c>
      <c r="M1082" t="s">
        <v>1814</v>
      </c>
    </row>
    <row r="1083" spans="1:13" x14ac:dyDescent="0.35">
      <c r="A1083" t="s">
        <v>1815</v>
      </c>
      <c r="B1083" t="s">
        <v>18</v>
      </c>
      <c r="C1083">
        <v>570</v>
      </c>
      <c r="D1083">
        <v>621.5</v>
      </c>
      <c r="E1083">
        <v>570</v>
      </c>
      <c r="F1083">
        <v>617.45000000000005</v>
      </c>
      <c r="G1083">
        <v>617.65</v>
      </c>
      <c r="H1083">
        <v>594.29999999999995</v>
      </c>
      <c r="I1083">
        <v>7105643</v>
      </c>
      <c r="J1083">
        <v>4308100444.1999998</v>
      </c>
      <c r="K1083" s="13">
        <v>43994</v>
      </c>
      <c r="L1083">
        <v>110075</v>
      </c>
      <c r="M1083" t="s">
        <v>1816</v>
      </c>
    </row>
    <row r="1084" spans="1:13" x14ac:dyDescent="0.35">
      <c r="A1084" t="s">
        <v>3743</v>
      </c>
      <c r="B1084" t="s">
        <v>3381</v>
      </c>
      <c r="C1084">
        <v>74</v>
      </c>
      <c r="D1084">
        <v>74.5</v>
      </c>
      <c r="E1084">
        <v>74</v>
      </c>
      <c r="F1084">
        <v>74.5</v>
      </c>
      <c r="G1084">
        <v>74.5</v>
      </c>
      <c r="H1084">
        <v>74</v>
      </c>
      <c r="I1084">
        <v>2400</v>
      </c>
      <c r="J1084">
        <v>178200</v>
      </c>
      <c r="K1084" s="13">
        <v>43994</v>
      </c>
      <c r="L1084">
        <v>2</v>
      </c>
      <c r="M1084" t="s">
        <v>3744</v>
      </c>
    </row>
    <row r="1085" spans="1:13" x14ac:dyDescent="0.35">
      <c r="A1085" t="s">
        <v>3745</v>
      </c>
      <c r="B1085" t="s">
        <v>3391</v>
      </c>
      <c r="C1085">
        <v>6.6</v>
      </c>
      <c r="D1085">
        <v>6.6</v>
      </c>
      <c r="E1085">
        <v>6.6</v>
      </c>
      <c r="F1085">
        <v>6.6</v>
      </c>
      <c r="G1085">
        <v>6.6</v>
      </c>
      <c r="H1085">
        <v>6.3</v>
      </c>
      <c r="I1085">
        <v>595882</v>
      </c>
      <c r="J1085">
        <v>3932821.2</v>
      </c>
      <c r="K1085" s="13">
        <v>43994</v>
      </c>
      <c r="L1085">
        <v>368</v>
      </c>
      <c r="M1085" t="s">
        <v>3746</v>
      </c>
    </row>
    <row r="1086" spans="1:13" x14ac:dyDescent="0.35">
      <c r="A1086" t="s">
        <v>1817</v>
      </c>
      <c r="B1086" t="s">
        <v>18</v>
      </c>
      <c r="C1086">
        <v>1180</v>
      </c>
      <c r="D1086">
        <v>1238.45</v>
      </c>
      <c r="E1086">
        <v>1172.3</v>
      </c>
      <c r="F1086">
        <v>1214.7</v>
      </c>
      <c r="G1086">
        <v>1214.4000000000001</v>
      </c>
      <c r="H1086">
        <v>1200.55</v>
      </c>
      <c r="I1086">
        <v>465377</v>
      </c>
      <c r="J1086">
        <v>566236155.54999995</v>
      </c>
      <c r="K1086" s="13">
        <v>43994</v>
      </c>
      <c r="L1086">
        <v>17462</v>
      </c>
      <c r="M1086" t="s">
        <v>1818</v>
      </c>
    </row>
    <row r="1087" spans="1:13" x14ac:dyDescent="0.35">
      <c r="A1087" t="s">
        <v>3747</v>
      </c>
      <c r="B1087" t="s">
        <v>3381</v>
      </c>
      <c r="C1087">
        <v>24</v>
      </c>
      <c r="D1087">
        <v>24</v>
      </c>
      <c r="E1087">
        <v>24</v>
      </c>
      <c r="F1087">
        <v>24</v>
      </c>
      <c r="G1087">
        <v>24</v>
      </c>
      <c r="H1087">
        <v>22.9</v>
      </c>
      <c r="I1087">
        <v>2000</v>
      </c>
      <c r="J1087">
        <v>48000</v>
      </c>
      <c r="K1087" s="13">
        <v>43994</v>
      </c>
      <c r="L1087">
        <v>1</v>
      </c>
      <c r="M1087" t="s">
        <v>3748</v>
      </c>
    </row>
    <row r="1088" spans="1:13" x14ac:dyDescent="0.35">
      <c r="A1088" t="s">
        <v>1819</v>
      </c>
      <c r="B1088" t="s">
        <v>18</v>
      </c>
      <c r="C1088">
        <v>6.1</v>
      </c>
      <c r="D1088">
        <v>6.3</v>
      </c>
      <c r="E1088">
        <v>5.95</v>
      </c>
      <c r="F1088">
        <v>6.15</v>
      </c>
      <c r="G1088">
        <v>6.15</v>
      </c>
      <c r="H1088">
        <v>6.3</v>
      </c>
      <c r="I1088">
        <v>59422</v>
      </c>
      <c r="J1088">
        <v>357631.15</v>
      </c>
      <c r="K1088" s="13">
        <v>43994</v>
      </c>
      <c r="L1088">
        <v>101</v>
      </c>
      <c r="M1088" t="s">
        <v>1820</v>
      </c>
    </row>
    <row r="1089" spans="1:13" x14ac:dyDescent="0.35">
      <c r="A1089" t="s">
        <v>1821</v>
      </c>
      <c r="B1089" t="s">
        <v>18</v>
      </c>
      <c r="C1089">
        <v>52</v>
      </c>
      <c r="D1089">
        <v>53.4</v>
      </c>
      <c r="E1089">
        <v>51.3</v>
      </c>
      <c r="F1089">
        <v>51.7</v>
      </c>
      <c r="G1089">
        <v>51.55</v>
      </c>
      <c r="H1089">
        <v>52.9</v>
      </c>
      <c r="I1089">
        <v>3281933</v>
      </c>
      <c r="J1089">
        <v>170930639.75</v>
      </c>
      <c r="K1089" s="13">
        <v>43994</v>
      </c>
      <c r="L1089">
        <v>13715</v>
      </c>
      <c r="M1089" t="s">
        <v>1822</v>
      </c>
    </row>
    <row r="1090" spans="1:13" x14ac:dyDescent="0.35">
      <c r="A1090" t="s">
        <v>3749</v>
      </c>
      <c r="B1090" t="s">
        <v>3414</v>
      </c>
      <c r="C1090">
        <v>4.0999999999999996</v>
      </c>
      <c r="D1090">
        <v>4.0999999999999996</v>
      </c>
      <c r="E1090">
        <v>3.8</v>
      </c>
      <c r="F1090">
        <v>4.0999999999999996</v>
      </c>
      <c r="G1090">
        <v>4.0999999999999996</v>
      </c>
      <c r="H1090">
        <v>3.95</v>
      </c>
      <c r="I1090">
        <v>30093</v>
      </c>
      <c r="J1090">
        <v>122717.1</v>
      </c>
      <c r="K1090" s="13">
        <v>43994</v>
      </c>
      <c r="L1090">
        <v>55</v>
      </c>
      <c r="M1090" t="s">
        <v>3750</v>
      </c>
    </row>
    <row r="1091" spans="1:13" x14ac:dyDescent="0.35">
      <c r="A1091" t="s">
        <v>1823</v>
      </c>
      <c r="B1091" t="s">
        <v>18</v>
      </c>
      <c r="C1091">
        <v>32</v>
      </c>
      <c r="D1091">
        <v>32.4</v>
      </c>
      <c r="E1091">
        <v>31.25</v>
      </c>
      <c r="F1091">
        <v>32.1</v>
      </c>
      <c r="G1091">
        <v>32</v>
      </c>
      <c r="H1091">
        <v>32.299999999999997</v>
      </c>
      <c r="I1091">
        <v>16471</v>
      </c>
      <c r="J1091">
        <v>523751.7</v>
      </c>
      <c r="K1091" s="13">
        <v>43994</v>
      </c>
      <c r="L1091">
        <v>378</v>
      </c>
      <c r="M1091" t="s">
        <v>1824</v>
      </c>
    </row>
    <row r="1092" spans="1:13" x14ac:dyDescent="0.35">
      <c r="A1092" t="s">
        <v>3751</v>
      </c>
      <c r="B1092" t="s">
        <v>3391</v>
      </c>
      <c r="C1092">
        <v>21.3</v>
      </c>
      <c r="D1092">
        <v>21.95</v>
      </c>
      <c r="E1092">
        <v>20.25</v>
      </c>
      <c r="F1092">
        <v>21.6</v>
      </c>
      <c r="G1092">
        <v>21.7</v>
      </c>
      <c r="H1092">
        <v>21.3</v>
      </c>
      <c r="I1092">
        <v>142946</v>
      </c>
      <c r="J1092">
        <v>3022225.35</v>
      </c>
      <c r="K1092" s="13">
        <v>43994</v>
      </c>
      <c r="L1092">
        <v>231</v>
      </c>
      <c r="M1092" t="s">
        <v>3752</v>
      </c>
    </row>
    <row r="1093" spans="1:13" x14ac:dyDescent="0.35">
      <c r="A1093" t="s">
        <v>3753</v>
      </c>
      <c r="B1093" t="s">
        <v>3391</v>
      </c>
      <c r="C1093">
        <v>0.85</v>
      </c>
      <c r="D1093">
        <v>0.9</v>
      </c>
      <c r="E1093">
        <v>0.8</v>
      </c>
      <c r="F1093">
        <v>0.9</v>
      </c>
      <c r="G1093">
        <v>0.9</v>
      </c>
      <c r="H1093">
        <v>0.85</v>
      </c>
      <c r="I1093">
        <v>3240309</v>
      </c>
      <c r="J1093">
        <v>2869273.55</v>
      </c>
      <c r="K1093" s="13">
        <v>43994</v>
      </c>
      <c r="L1093">
        <v>541</v>
      </c>
      <c r="M1093" t="s">
        <v>3754</v>
      </c>
    </row>
    <row r="1094" spans="1:13" x14ac:dyDescent="0.35">
      <c r="A1094" t="s">
        <v>1825</v>
      </c>
      <c r="B1094" t="s">
        <v>18</v>
      </c>
      <c r="C1094">
        <v>5.25</v>
      </c>
      <c r="D1094">
        <v>5.5</v>
      </c>
      <c r="E1094">
        <v>5.25</v>
      </c>
      <c r="F1094">
        <v>5.5</v>
      </c>
      <c r="G1094">
        <v>5.5</v>
      </c>
      <c r="H1094">
        <v>5.25</v>
      </c>
      <c r="I1094">
        <v>19057</v>
      </c>
      <c r="J1094">
        <v>103468.85</v>
      </c>
      <c r="K1094" s="13">
        <v>43994</v>
      </c>
      <c r="L1094">
        <v>33</v>
      </c>
      <c r="M1094" t="s">
        <v>1826</v>
      </c>
    </row>
    <row r="1095" spans="1:13" x14ac:dyDescent="0.35">
      <c r="A1095" t="s">
        <v>3755</v>
      </c>
      <c r="B1095" t="s">
        <v>3414</v>
      </c>
      <c r="C1095">
        <v>0.4</v>
      </c>
      <c r="D1095">
        <v>0.5</v>
      </c>
      <c r="E1095">
        <v>0.4</v>
      </c>
      <c r="F1095">
        <v>0.5</v>
      </c>
      <c r="G1095">
        <v>0.5</v>
      </c>
      <c r="H1095">
        <v>0.45</v>
      </c>
      <c r="I1095">
        <v>55631</v>
      </c>
      <c r="J1095">
        <v>25108.85</v>
      </c>
      <c r="K1095" s="13">
        <v>43994</v>
      </c>
      <c r="L1095">
        <v>33</v>
      </c>
      <c r="M1095" t="s">
        <v>3756</v>
      </c>
    </row>
    <row r="1096" spans="1:13" x14ac:dyDescent="0.35">
      <c r="A1096" t="s">
        <v>1827</v>
      </c>
      <c r="B1096" t="s">
        <v>18</v>
      </c>
      <c r="C1096">
        <v>1370.05</v>
      </c>
      <c r="D1096">
        <v>1547.9</v>
      </c>
      <c r="E1096">
        <v>1360</v>
      </c>
      <c r="F1096">
        <v>1452.75</v>
      </c>
      <c r="G1096">
        <v>1459</v>
      </c>
      <c r="H1096">
        <v>1408.1</v>
      </c>
      <c r="I1096">
        <v>105456</v>
      </c>
      <c r="J1096">
        <v>151358357.34999999</v>
      </c>
      <c r="K1096" s="13">
        <v>43994</v>
      </c>
      <c r="L1096">
        <v>14312</v>
      </c>
      <c r="M1096" t="s">
        <v>1828</v>
      </c>
    </row>
    <row r="1097" spans="1:13" x14ac:dyDescent="0.35">
      <c r="A1097" t="s">
        <v>1829</v>
      </c>
      <c r="B1097" t="s">
        <v>18</v>
      </c>
      <c r="C1097">
        <v>461.5</v>
      </c>
      <c r="D1097">
        <v>498</v>
      </c>
      <c r="E1097">
        <v>461.5</v>
      </c>
      <c r="F1097">
        <v>488.9</v>
      </c>
      <c r="G1097">
        <v>489</v>
      </c>
      <c r="H1097">
        <v>476.05</v>
      </c>
      <c r="I1097">
        <v>1650423</v>
      </c>
      <c r="J1097">
        <v>798287616.54999995</v>
      </c>
      <c r="K1097" s="13">
        <v>43994</v>
      </c>
      <c r="L1097">
        <v>30162</v>
      </c>
      <c r="M1097" t="s">
        <v>1830</v>
      </c>
    </row>
    <row r="1098" spans="1:13" x14ac:dyDescent="0.35">
      <c r="A1098" t="s">
        <v>3757</v>
      </c>
      <c r="B1098" t="s">
        <v>3381</v>
      </c>
      <c r="C1098">
        <v>57.2</v>
      </c>
      <c r="D1098">
        <v>57.2</v>
      </c>
      <c r="E1098">
        <v>57.2</v>
      </c>
      <c r="F1098">
        <v>57.2</v>
      </c>
      <c r="G1098">
        <v>57.2</v>
      </c>
      <c r="H1098">
        <v>57.3</v>
      </c>
      <c r="I1098">
        <v>2000</v>
      </c>
      <c r="J1098">
        <v>114400</v>
      </c>
      <c r="K1098" s="13">
        <v>43994</v>
      </c>
      <c r="L1098">
        <v>1</v>
      </c>
      <c r="M1098" t="s">
        <v>3758</v>
      </c>
    </row>
    <row r="1099" spans="1:13" x14ac:dyDescent="0.35">
      <c r="A1099" t="s">
        <v>1831</v>
      </c>
      <c r="B1099" t="s">
        <v>18</v>
      </c>
      <c r="C1099">
        <v>1004.95</v>
      </c>
      <c r="D1099">
        <v>1087.3</v>
      </c>
      <c r="E1099">
        <v>1001</v>
      </c>
      <c r="F1099">
        <v>1074.2</v>
      </c>
      <c r="G1099">
        <v>1080.45</v>
      </c>
      <c r="H1099">
        <v>1036.3</v>
      </c>
      <c r="I1099">
        <v>2261363</v>
      </c>
      <c r="J1099">
        <v>2363388889.9000001</v>
      </c>
      <c r="K1099" s="13">
        <v>43994</v>
      </c>
      <c r="L1099">
        <v>61793</v>
      </c>
      <c r="M1099" t="s">
        <v>1832</v>
      </c>
    </row>
    <row r="1100" spans="1:13" x14ac:dyDescent="0.35">
      <c r="A1100" t="s">
        <v>3759</v>
      </c>
      <c r="B1100" t="s">
        <v>3381</v>
      </c>
      <c r="C1100">
        <v>11.8</v>
      </c>
      <c r="D1100">
        <v>13</v>
      </c>
      <c r="E1100">
        <v>11.8</v>
      </c>
      <c r="F1100">
        <v>13</v>
      </c>
      <c r="G1100">
        <v>13</v>
      </c>
      <c r="H1100">
        <v>12.4</v>
      </c>
      <c r="I1100">
        <v>9000</v>
      </c>
      <c r="J1100">
        <v>109800</v>
      </c>
      <c r="K1100" s="13">
        <v>43994</v>
      </c>
      <c r="L1100">
        <v>3</v>
      </c>
      <c r="M1100" t="s">
        <v>3760</v>
      </c>
    </row>
    <row r="1101" spans="1:13" x14ac:dyDescent="0.35">
      <c r="A1101" t="s">
        <v>1833</v>
      </c>
      <c r="B1101" t="s">
        <v>18</v>
      </c>
      <c r="C1101">
        <v>160</v>
      </c>
      <c r="D1101">
        <v>168.5</v>
      </c>
      <c r="E1101">
        <v>156.80000000000001</v>
      </c>
      <c r="F1101">
        <v>166.35</v>
      </c>
      <c r="G1101">
        <v>164.1</v>
      </c>
      <c r="H1101">
        <v>163.19999999999999</v>
      </c>
      <c r="I1101">
        <v>21595</v>
      </c>
      <c r="J1101">
        <v>3527870.65</v>
      </c>
      <c r="K1101" s="13">
        <v>43994</v>
      </c>
      <c r="L1101">
        <v>771</v>
      </c>
      <c r="M1101" t="s">
        <v>1834</v>
      </c>
    </row>
    <row r="1102" spans="1:13" x14ac:dyDescent="0.35">
      <c r="A1102" t="s">
        <v>1835</v>
      </c>
      <c r="B1102" t="s">
        <v>18</v>
      </c>
      <c r="C1102">
        <v>0.85</v>
      </c>
      <c r="D1102">
        <v>0.85</v>
      </c>
      <c r="E1102">
        <v>0.85</v>
      </c>
      <c r="F1102">
        <v>0.85</v>
      </c>
      <c r="G1102">
        <v>0.85</v>
      </c>
      <c r="H1102">
        <v>0.9</v>
      </c>
      <c r="I1102">
        <v>139883</v>
      </c>
      <c r="J1102">
        <v>118900.55</v>
      </c>
      <c r="K1102" s="13">
        <v>43994</v>
      </c>
      <c r="L1102">
        <v>107</v>
      </c>
      <c r="M1102" t="s">
        <v>1836</v>
      </c>
    </row>
    <row r="1103" spans="1:13" x14ac:dyDescent="0.35">
      <c r="A1103" t="s">
        <v>1837</v>
      </c>
      <c r="B1103" t="s">
        <v>18</v>
      </c>
      <c r="C1103">
        <v>190</v>
      </c>
      <c r="D1103">
        <v>199</v>
      </c>
      <c r="E1103">
        <v>190</v>
      </c>
      <c r="F1103">
        <v>196.8</v>
      </c>
      <c r="G1103">
        <v>197.1</v>
      </c>
      <c r="H1103">
        <v>199.25</v>
      </c>
      <c r="I1103">
        <v>894578</v>
      </c>
      <c r="J1103">
        <v>174912148.80000001</v>
      </c>
      <c r="K1103" s="13">
        <v>43994</v>
      </c>
      <c r="L1103">
        <v>12338</v>
      </c>
      <c r="M1103" t="s">
        <v>1838</v>
      </c>
    </row>
    <row r="1104" spans="1:13" x14ac:dyDescent="0.35">
      <c r="A1104" t="s">
        <v>3761</v>
      </c>
      <c r="B1104" t="s">
        <v>3381</v>
      </c>
      <c r="C1104">
        <v>11.1</v>
      </c>
      <c r="D1104">
        <v>12.2</v>
      </c>
      <c r="E1104">
        <v>11.1</v>
      </c>
      <c r="F1104">
        <v>12.2</v>
      </c>
      <c r="G1104">
        <v>12.2</v>
      </c>
      <c r="H1104">
        <v>11.65</v>
      </c>
      <c r="I1104">
        <v>8800</v>
      </c>
      <c r="J1104">
        <v>102520</v>
      </c>
      <c r="K1104" s="13">
        <v>43994</v>
      </c>
      <c r="L1104">
        <v>2</v>
      </c>
      <c r="M1104" t="s">
        <v>3762</v>
      </c>
    </row>
    <row r="1105" spans="1:13" x14ac:dyDescent="0.35">
      <c r="A1105" t="s">
        <v>1839</v>
      </c>
      <c r="B1105" t="s">
        <v>18</v>
      </c>
      <c r="C1105">
        <v>59.85</v>
      </c>
      <c r="D1105">
        <v>64</v>
      </c>
      <c r="E1105">
        <v>59.15</v>
      </c>
      <c r="F1105">
        <v>62.9</v>
      </c>
      <c r="G1105">
        <v>63</v>
      </c>
      <c r="H1105">
        <v>62.85</v>
      </c>
      <c r="I1105">
        <v>1089158</v>
      </c>
      <c r="J1105">
        <v>66945761.5</v>
      </c>
      <c r="K1105" s="13">
        <v>43994</v>
      </c>
      <c r="L1105">
        <v>5916</v>
      </c>
      <c r="M1105" t="s">
        <v>1840</v>
      </c>
    </row>
    <row r="1106" spans="1:13" x14ac:dyDescent="0.35">
      <c r="A1106" t="s">
        <v>1841</v>
      </c>
      <c r="B1106" t="s">
        <v>18</v>
      </c>
      <c r="C1106">
        <v>265.5</v>
      </c>
      <c r="D1106">
        <v>294.95</v>
      </c>
      <c r="E1106">
        <v>265.5</v>
      </c>
      <c r="F1106">
        <v>288.95</v>
      </c>
      <c r="G1106">
        <v>292.85000000000002</v>
      </c>
      <c r="H1106">
        <v>281.89999999999998</v>
      </c>
      <c r="I1106">
        <v>161420</v>
      </c>
      <c r="J1106">
        <v>45757366.899999999</v>
      </c>
      <c r="K1106" s="13">
        <v>43994</v>
      </c>
      <c r="L1106">
        <v>4292</v>
      </c>
      <c r="M1106" t="s">
        <v>1842</v>
      </c>
    </row>
    <row r="1107" spans="1:13" x14ac:dyDescent="0.35">
      <c r="A1107" t="s">
        <v>1843</v>
      </c>
      <c r="B1107" t="s">
        <v>18</v>
      </c>
      <c r="C1107">
        <v>21.8</v>
      </c>
      <c r="D1107">
        <v>22.2</v>
      </c>
      <c r="E1107">
        <v>21.35</v>
      </c>
      <c r="F1107">
        <v>22</v>
      </c>
      <c r="G1107">
        <v>22</v>
      </c>
      <c r="H1107">
        <v>22.45</v>
      </c>
      <c r="I1107">
        <v>6116</v>
      </c>
      <c r="J1107">
        <v>131210.75</v>
      </c>
      <c r="K1107" s="13">
        <v>43994</v>
      </c>
      <c r="L1107">
        <v>58</v>
      </c>
      <c r="M1107" t="s">
        <v>1844</v>
      </c>
    </row>
    <row r="1108" spans="1:13" x14ac:dyDescent="0.35">
      <c r="A1108" t="s">
        <v>1845</v>
      </c>
      <c r="B1108" t="s">
        <v>18</v>
      </c>
      <c r="C1108">
        <v>890</v>
      </c>
      <c r="D1108">
        <v>919</v>
      </c>
      <c r="E1108">
        <v>881.05</v>
      </c>
      <c r="F1108">
        <v>914</v>
      </c>
      <c r="G1108">
        <v>911</v>
      </c>
      <c r="H1108">
        <v>918.7</v>
      </c>
      <c r="I1108">
        <v>972329</v>
      </c>
      <c r="J1108">
        <v>882262343</v>
      </c>
      <c r="K1108" s="13">
        <v>43994</v>
      </c>
      <c r="L1108">
        <v>24560</v>
      </c>
      <c r="M1108" t="s">
        <v>1846</v>
      </c>
    </row>
    <row r="1109" spans="1:13" x14ac:dyDescent="0.35">
      <c r="A1109" t="s">
        <v>1847</v>
      </c>
      <c r="B1109" t="s">
        <v>18</v>
      </c>
      <c r="C1109">
        <v>6.6</v>
      </c>
      <c r="D1109">
        <v>7.2</v>
      </c>
      <c r="E1109">
        <v>6.6</v>
      </c>
      <c r="F1109">
        <v>7.15</v>
      </c>
      <c r="G1109">
        <v>7.15</v>
      </c>
      <c r="H1109">
        <v>6.9</v>
      </c>
      <c r="I1109">
        <v>1087113</v>
      </c>
      <c r="J1109">
        <v>7422641.6500000004</v>
      </c>
      <c r="K1109" s="13">
        <v>43994</v>
      </c>
      <c r="L1109">
        <v>1472</v>
      </c>
      <c r="M1109" t="s">
        <v>1848</v>
      </c>
    </row>
    <row r="1110" spans="1:13" x14ac:dyDescent="0.35">
      <c r="A1110" t="s">
        <v>1849</v>
      </c>
      <c r="B1110" t="s">
        <v>18</v>
      </c>
      <c r="C1110">
        <v>40</v>
      </c>
      <c r="D1110">
        <v>43</v>
      </c>
      <c r="E1110">
        <v>38.25</v>
      </c>
      <c r="F1110">
        <v>41.3</v>
      </c>
      <c r="G1110">
        <v>41.65</v>
      </c>
      <c r="H1110">
        <v>42</v>
      </c>
      <c r="I1110">
        <v>267147</v>
      </c>
      <c r="J1110">
        <v>10929666.6</v>
      </c>
      <c r="K1110" s="13">
        <v>43994</v>
      </c>
      <c r="L1110">
        <v>2051</v>
      </c>
      <c r="M1110" t="s">
        <v>1850</v>
      </c>
    </row>
    <row r="1111" spans="1:13" x14ac:dyDescent="0.35">
      <c r="A1111" t="s">
        <v>1851</v>
      </c>
      <c r="B1111" t="s">
        <v>18</v>
      </c>
      <c r="C1111">
        <v>147.1</v>
      </c>
      <c r="D1111">
        <v>148.80000000000001</v>
      </c>
      <c r="E1111">
        <v>147</v>
      </c>
      <c r="F1111">
        <v>148.6</v>
      </c>
      <c r="G1111">
        <v>148.69999999999999</v>
      </c>
      <c r="H1111">
        <v>146.6</v>
      </c>
      <c r="I1111">
        <v>330461</v>
      </c>
      <c r="J1111">
        <v>48975326.25</v>
      </c>
      <c r="K1111" s="13">
        <v>43994</v>
      </c>
      <c r="L1111">
        <v>2035</v>
      </c>
      <c r="M1111" t="s">
        <v>1852</v>
      </c>
    </row>
    <row r="1112" spans="1:13" x14ac:dyDescent="0.35">
      <c r="A1112" t="s">
        <v>3763</v>
      </c>
      <c r="B1112" t="s">
        <v>3381</v>
      </c>
      <c r="C1112">
        <v>71</v>
      </c>
      <c r="D1112">
        <v>71</v>
      </c>
      <c r="E1112">
        <v>71</v>
      </c>
      <c r="F1112">
        <v>71</v>
      </c>
      <c r="G1112">
        <v>71</v>
      </c>
      <c r="H1112">
        <v>71.400000000000006</v>
      </c>
      <c r="I1112">
        <v>2000</v>
      </c>
      <c r="J1112">
        <v>142000</v>
      </c>
      <c r="K1112" s="13">
        <v>43994</v>
      </c>
      <c r="L1112">
        <v>1</v>
      </c>
      <c r="M1112" t="s">
        <v>3764</v>
      </c>
    </row>
    <row r="1113" spans="1:13" x14ac:dyDescent="0.35">
      <c r="A1113" t="s">
        <v>1853</v>
      </c>
      <c r="B1113" t="s">
        <v>18</v>
      </c>
      <c r="C1113">
        <v>165.3</v>
      </c>
      <c r="D1113">
        <v>180.4</v>
      </c>
      <c r="E1113">
        <v>165.3</v>
      </c>
      <c r="F1113">
        <v>178</v>
      </c>
      <c r="G1113">
        <v>177.1</v>
      </c>
      <c r="H1113">
        <v>175.7</v>
      </c>
      <c r="I1113">
        <v>22799</v>
      </c>
      <c r="J1113">
        <v>3953715.05</v>
      </c>
      <c r="K1113" s="13">
        <v>43994</v>
      </c>
      <c r="L1113">
        <v>630</v>
      </c>
      <c r="M1113" t="s">
        <v>1854</v>
      </c>
    </row>
    <row r="1114" spans="1:13" x14ac:dyDescent="0.35">
      <c r="A1114" t="s">
        <v>1855</v>
      </c>
      <c r="B1114" t="s">
        <v>18</v>
      </c>
      <c r="C1114">
        <v>60</v>
      </c>
      <c r="D1114">
        <v>62</v>
      </c>
      <c r="E1114">
        <v>56.35</v>
      </c>
      <c r="F1114">
        <v>61.8</v>
      </c>
      <c r="G1114">
        <v>61.8</v>
      </c>
      <c r="H1114">
        <v>63.8</v>
      </c>
      <c r="I1114">
        <v>4615</v>
      </c>
      <c r="J1114">
        <v>276769.15000000002</v>
      </c>
      <c r="K1114" s="13">
        <v>43994</v>
      </c>
      <c r="L1114">
        <v>89</v>
      </c>
      <c r="M1114" t="s">
        <v>1856</v>
      </c>
    </row>
    <row r="1115" spans="1:13" x14ac:dyDescent="0.35">
      <c r="A1115" t="s">
        <v>1857</v>
      </c>
      <c r="B1115" t="s">
        <v>18</v>
      </c>
      <c r="C1115">
        <v>15.55</v>
      </c>
      <c r="D1115">
        <v>16.2</v>
      </c>
      <c r="E1115">
        <v>15.5</v>
      </c>
      <c r="F1115">
        <v>16.05</v>
      </c>
      <c r="G1115">
        <v>16.100000000000001</v>
      </c>
      <c r="H1115">
        <v>16.3</v>
      </c>
      <c r="I1115">
        <v>1152576</v>
      </c>
      <c r="J1115">
        <v>18325754.850000001</v>
      </c>
      <c r="K1115" s="13">
        <v>43994</v>
      </c>
      <c r="L1115">
        <v>3682</v>
      </c>
      <c r="M1115" t="s">
        <v>1858</v>
      </c>
    </row>
    <row r="1116" spans="1:13" x14ac:dyDescent="0.35">
      <c r="A1116" t="s">
        <v>3765</v>
      </c>
      <c r="B1116" t="s">
        <v>3391</v>
      </c>
      <c r="C1116">
        <v>31.3</v>
      </c>
      <c r="D1116">
        <v>31.3</v>
      </c>
      <c r="E1116">
        <v>30</v>
      </c>
      <c r="F1116">
        <v>30</v>
      </c>
      <c r="G1116">
        <v>30</v>
      </c>
      <c r="H1116">
        <v>30</v>
      </c>
      <c r="I1116">
        <v>120</v>
      </c>
      <c r="J1116">
        <v>3665</v>
      </c>
      <c r="K1116" s="13">
        <v>43994</v>
      </c>
      <c r="L1116">
        <v>3</v>
      </c>
      <c r="M1116" t="s">
        <v>3766</v>
      </c>
    </row>
    <row r="1117" spans="1:13" x14ac:dyDescent="0.35">
      <c r="A1117" t="s">
        <v>3767</v>
      </c>
      <c r="B1117" t="s">
        <v>18</v>
      </c>
      <c r="C1117">
        <v>3.6</v>
      </c>
      <c r="D1117">
        <v>3.6</v>
      </c>
      <c r="E1117">
        <v>3.6</v>
      </c>
      <c r="F1117">
        <v>3.6</v>
      </c>
      <c r="G1117">
        <v>3.6</v>
      </c>
      <c r="H1117">
        <v>3.6</v>
      </c>
      <c r="I1117">
        <v>25</v>
      </c>
      <c r="J1117">
        <v>90</v>
      </c>
      <c r="K1117" s="13">
        <v>43994</v>
      </c>
      <c r="L1117">
        <v>1</v>
      </c>
      <c r="M1117" t="s">
        <v>3768</v>
      </c>
    </row>
    <row r="1118" spans="1:13" x14ac:dyDescent="0.35">
      <c r="A1118" t="s">
        <v>1859</v>
      </c>
      <c r="B1118" t="s">
        <v>18</v>
      </c>
      <c r="C1118">
        <v>9.8000000000000007</v>
      </c>
      <c r="D1118">
        <v>9.8000000000000007</v>
      </c>
      <c r="E1118">
        <v>9.8000000000000007</v>
      </c>
      <c r="F1118">
        <v>9.8000000000000007</v>
      </c>
      <c r="G1118">
        <v>9.8000000000000007</v>
      </c>
      <c r="H1118">
        <v>9.35</v>
      </c>
      <c r="I1118">
        <v>7535</v>
      </c>
      <c r="J1118">
        <v>73843</v>
      </c>
      <c r="K1118" s="13">
        <v>43994</v>
      </c>
      <c r="L1118">
        <v>18</v>
      </c>
      <c r="M1118" t="s">
        <v>1860</v>
      </c>
    </row>
    <row r="1119" spans="1:13" x14ac:dyDescent="0.35">
      <c r="A1119" t="s">
        <v>1861</v>
      </c>
      <c r="B1119" t="s">
        <v>18</v>
      </c>
      <c r="C1119">
        <v>147</v>
      </c>
      <c r="D1119">
        <v>148.4</v>
      </c>
      <c r="E1119">
        <v>143.65</v>
      </c>
      <c r="F1119">
        <v>147.30000000000001</v>
      </c>
      <c r="G1119">
        <v>147.05000000000001</v>
      </c>
      <c r="H1119">
        <v>152</v>
      </c>
      <c r="I1119">
        <v>223723</v>
      </c>
      <c r="J1119">
        <v>32824641.449999999</v>
      </c>
      <c r="K1119" s="13">
        <v>43994</v>
      </c>
      <c r="L1119">
        <v>5085</v>
      </c>
      <c r="M1119" t="s">
        <v>1862</v>
      </c>
    </row>
    <row r="1120" spans="1:13" x14ac:dyDescent="0.35">
      <c r="A1120" t="s">
        <v>3769</v>
      </c>
      <c r="B1120" t="s">
        <v>3381</v>
      </c>
      <c r="C1120">
        <v>22.5</v>
      </c>
      <c r="D1120">
        <v>22.5</v>
      </c>
      <c r="E1120">
        <v>22.5</v>
      </c>
      <c r="F1120">
        <v>22.5</v>
      </c>
      <c r="G1120">
        <v>22.5</v>
      </c>
      <c r="H1120">
        <v>23</v>
      </c>
      <c r="I1120">
        <v>3000</v>
      </c>
      <c r="J1120">
        <v>67500</v>
      </c>
      <c r="K1120" s="13">
        <v>43994</v>
      </c>
      <c r="L1120">
        <v>1</v>
      </c>
      <c r="M1120" t="s">
        <v>3770</v>
      </c>
    </row>
    <row r="1121" spans="1:13" x14ac:dyDescent="0.35">
      <c r="A1121" t="s">
        <v>1863</v>
      </c>
      <c r="B1121" t="s">
        <v>18</v>
      </c>
      <c r="C1121">
        <v>36</v>
      </c>
      <c r="D1121">
        <v>36.65</v>
      </c>
      <c r="E1121">
        <v>34.6</v>
      </c>
      <c r="F1121">
        <v>36.299999999999997</v>
      </c>
      <c r="G1121">
        <v>36.299999999999997</v>
      </c>
      <c r="H1121">
        <v>36.9</v>
      </c>
      <c r="I1121">
        <v>25555</v>
      </c>
      <c r="J1121">
        <v>909068.55</v>
      </c>
      <c r="K1121" s="13">
        <v>43994</v>
      </c>
      <c r="L1121">
        <v>332</v>
      </c>
      <c r="M1121" t="s">
        <v>1864</v>
      </c>
    </row>
    <row r="1122" spans="1:13" x14ac:dyDescent="0.35">
      <c r="A1122" t="s">
        <v>1865</v>
      </c>
      <c r="B1122" t="s">
        <v>18</v>
      </c>
      <c r="C1122">
        <v>180</v>
      </c>
      <c r="D1122">
        <v>184.7</v>
      </c>
      <c r="E1122">
        <v>179.5</v>
      </c>
      <c r="F1122">
        <v>183.7</v>
      </c>
      <c r="G1122">
        <v>184.5</v>
      </c>
      <c r="H1122">
        <v>185.5</v>
      </c>
      <c r="I1122">
        <v>37491</v>
      </c>
      <c r="J1122">
        <v>6841706.2000000002</v>
      </c>
      <c r="K1122" s="13">
        <v>43994</v>
      </c>
      <c r="L1122">
        <v>1081</v>
      </c>
      <c r="M1122" t="s">
        <v>1866</v>
      </c>
    </row>
    <row r="1123" spans="1:13" x14ac:dyDescent="0.35">
      <c r="A1123" t="s">
        <v>1867</v>
      </c>
      <c r="B1123" t="s">
        <v>18</v>
      </c>
      <c r="C1123">
        <v>141</v>
      </c>
      <c r="D1123">
        <v>150.80000000000001</v>
      </c>
      <c r="E1123">
        <v>141</v>
      </c>
      <c r="F1123">
        <v>150.05000000000001</v>
      </c>
      <c r="G1123">
        <v>150.80000000000001</v>
      </c>
      <c r="H1123">
        <v>150.19999999999999</v>
      </c>
      <c r="I1123">
        <v>43947</v>
      </c>
      <c r="J1123">
        <v>6498558.1500000004</v>
      </c>
      <c r="K1123" s="13">
        <v>43994</v>
      </c>
      <c r="L1123">
        <v>1136</v>
      </c>
      <c r="M1123" t="s">
        <v>1868</v>
      </c>
    </row>
    <row r="1124" spans="1:13" x14ac:dyDescent="0.35">
      <c r="A1124" t="s">
        <v>1869</v>
      </c>
      <c r="B1124" t="s">
        <v>18</v>
      </c>
      <c r="C1124">
        <v>10.050000000000001</v>
      </c>
      <c r="D1124">
        <v>10.75</v>
      </c>
      <c r="E1124">
        <v>10</v>
      </c>
      <c r="F1124">
        <v>10.6</v>
      </c>
      <c r="G1124">
        <v>10.6</v>
      </c>
      <c r="H1124">
        <v>10.199999999999999</v>
      </c>
      <c r="I1124">
        <v>3213</v>
      </c>
      <c r="J1124">
        <v>32944.949999999997</v>
      </c>
      <c r="K1124" s="13">
        <v>43994</v>
      </c>
      <c r="L1124">
        <v>31</v>
      </c>
      <c r="M1124" t="s">
        <v>1870</v>
      </c>
    </row>
    <row r="1125" spans="1:13" x14ac:dyDescent="0.35">
      <c r="A1125" t="s">
        <v>1871</v>
      </c>
      <c r="B1125" t="s">
        <v>18</v>
      </c>
      <c r="C1125">
        <v>19.5</v>
      </c>
      <c r="D1125">
        <v>21.7</v>
      </c>
      <c r="E1125">
        <v>19.05</v>
      </c>
      <c r="F1125">
        <v>21.2</v>
      </c>
      <c r="G1125">
        <v>21.2</v>
      </c>
      <c r="H1125">
        <v>21.05</v>
      </c>
      <c r="I1125">
        <v>3322463</v>
      </c>
      <c r="J1125">
        <v>68903467.900000006</v>
      </c>
      <c r="K1125" s="13">
        <v>43994</v>
      </c>
      <c r="L1125">
        <v>7034</v>
      </c>
      <c r="M1125" t="s">
        <v>1872</v>
      </c>
    </row>
    <row r="1126" spans="1:13" x14ac:dyDescent="0.35">
      <c r="A1126" t="s">
        <v>52</v>
      </c>
      <c r="B1126" t="s">
        <v>18</v>
      </c>
      <c r="C1126">
        <v>86.25</v>
      </c>
      <c r="D1126">
        <v>95.65</v>
      </c>
      <c r="E1126">
        <v>86.25</v>
      </c>
      <c r="F1126">
        <v>94.95</v>
      </c>
      <c r="G1126">
        <v>94.85</v>
      </c>
      <c r="H1126">
        <v>93.55</v>
      </c>
      <c r="I1126">
        <v>19134403</v>
      </c>
      <c r="J1126">
        <v>1762729741.2</v>
      </c>
      <c r="K1126" s="13">
        <v>43994</v>
      </c>
      <c r="L1126">
        <v>73326</v>
      </c>
      <c r="M1126" t="s">
        <v>1873</v>
      </c>
    </row>
    <row r="1127" spans="1:13" x14ac:dyDescent="0.35">
      <c r="A1127" t="s">
        <v>1874</v>
      </c>
      <c r="B1127" t="s">
        <v>18</v>
      </c>
      <c r="C1127">
        <v>526</v>
      </c>
      <c r="D1127">
        <v>554.95000000000005</v>
      </c>
      <c r="E1127">
        <v>521.35</v>
      </c>
      <c r="F1127">
        <v>549.65</v>
      </c>
      <c r="G1127">
        <v>545</v>
      </c>
      <c r="H1127">
        <v>548.35</v>
      </c>
      <c r="I1127">
        <v>67197</v>
      </c>
      <c r="J1127">
        <v>36256937</v>
      </c>
      <c r="K1127" s="13">
        <v>43994</v>
      </c>
      <c r="L1127">
        <v>2897</v>
      </c>
      <c r="M1127" t="s">
        <v>1875</v>
      </c>
    </row>
    <row r="1128" spans="1:13" x14ac:dyDescent="0.35">
      <c r="A1128" t="s">
        <v>1876</v>
      </c>
      <c r="B1128" t="s">
        <v>18</v>
      </c>
      <c r="C1128">
        <v>42</v>
      </c>
      <c r="D1128">
        <v>47.9</v>
      </c>
      <c r="E1128">
        <v>41.85</v>
      </c>
      <c r="F1128">
        <v>45.8</v>
      </c>
      <c r="G1128">
        <v>46.8</v>
      </c>
      <c r="H1128">
        <v>46.45</v>
      </c>
      <c r="I1128">
        <v>26328</v>
      </c>
      <c r="J1128">
        <v>1145286.95</v>
      </c>
      <c r="K1128" s="13">
        <v>43994</v>
      </c>
      <c r="L1128">
        <v>415</v>
      </c>
      <c r="M1128" t="s">
        <v>1877</v>
      </c>
    </row>
    <row r="1129" spans="1:13" x14ac:dyDescent="0.35">
      <c r="A1129" t="s">
        <v>1878</v>
      </c>
      <c r="B1129" t="s">
        <v>18</v>
      </c>
      <c r="C1129">
        <v>832</v>
      </c>
      <c r="D1129">
        <v>865.8</v>
      </c>
      <c r="E1129">
        <v>832</v>
      </c>
      <c r="F1129">
        <v>858.7</v>
      </c>
      <c r="G1129">
        <v>858</v>
      </c>
      <c r="H1129">
        <v>866.35</v>
      </c>
      <c r="I1129">
        <v>132469</v>
      </c>
      <c r="J1129">
        <v>113543036.25</v>
      </c>
      <c r="K1129" s="13">
        <v>43994</v>
      </c>
      <c r="L1129">
        <v>7860</v>
      </c>
      <c r="M1129" t="s">
        <v>1879</v>
      </c>
    </row>
    <row r="1130" spans="1:13" x14ac:dyDescent="0.35">
      <c r="A1130" t="s">
        <v>1880</v>
      </c>
      <c r="B1130" t="s">
        <v>18</v>
      </c>
      <c r="C1130">
        <v>244.95</v>
      </c>
      <c r="D1130">
        <v>253</v>
      </c>
      <c r="E1130">
        <v>236.25</v>
      </c>
      <c r="F1130">
        <v>250.05</v>
      </c>
      <c r="G1130">
        <v>251.6</v>
      </c>
      <c r="H1130">
        <v>244.2</v>
      </c>
      <c r="I1130">
        <v>16299</v>
      </c>
      <c r="J1130">
        <v>4043237.3</v>
      </c>
      <c r="K1130" s="13">
        <v>43994</v>
      </c>
      <c r="L1130">
        <v>999</v>
      </c>
      <c r="M1130" t="s">
        <v>1881</v>
      </c>
    </row>
    <row r="1131" spans="1:13" x14ac:dyDescent="0.35">
      <c r="A1131" t="s">
        <v>1882</v>
      </c>
      <c r="B1131" t="s">
        <v>18</v>
      </c>
      <c r="C1131">
        <v>61000</v>
      </c>
      <c r="D1131">
        <v>64100</v>
      </c>
      <c r="E1131">
        <v>59500</v>
      </c>
      <c r="F1131">
        <v>63729.05</v>
      </c>
      <c r="G1131">
        <v>63900</v>
      </c>
      <c r="H1131">
        <v>62884.95</v>
      </c>
      <c r="I1131">
        <v>11399</v>
      </c>
      <c r="J1131">
        <v>713359893.60000002</v>
      </c>
      <c r="K1131" s="13">
        <v>43994</v>
      </c>
      <c r="L1131">
        <v>6648</v>
      </c>
      <c r="M1131" t="s">
        <v>1883</v>
      </c>
    </row>
    <row r="1132" spans="1:13" x14ac:dyDescent="0.35">
      <c r="A1132" t="s">
        <v>1884</v>
      </c>
      <c r="B1132" t="s">
        <v>18</v>
      </c>
      <c r="C1132">
        <v>23.4</v>
      </c>
      <c r="D1132">
        <v>23.4</v>
      </c>
      <c r="E1132">
        <v>21.2</v>
      </c>
      <c r="F1132">
        <v>22.05</v>
      </c>
      <c r="G1132">
        <v>22.05</v>
      </c>
      <c r="H1132">
        <v>22.3</v>
      </c>
      <c r="I1132">
        <v>912</v>
      </c>
      <c r="J1132">
        <v>21108.6</v>
      </c>
      <c r="K1132" s="13">
        <v>43994</v>
      </c>
      <c r="L1132">
        <v>18</v>
      </c>
      <c r="M1132" t="s">
        <v>1885</v>
      </c>
    </row>
    <row r="1133" spans="1:13" x14ac:dyDescent="0.35">
      <c r="A1133" t="s">
        <v>1886</v>
      </c>
      <c r="B1133" t="s">
        <v>18</v>
      </c>
      <c r="C1133">
        <v>31</v>
      </c>
      <c r="D1133">
        <v>34.25</v>
      </c>
      <c r="E1133">
        <v>30.6</v>
      </c>
      <c r="F1133">
        <v>32.700000000000003</v>
      </c>
      <c r="G1133">
        <v>32.549999999999997</v>
      </c>
      <c r="H1133">
        <v>32.200000000000003</v>
      </c>
      <c r="I1133">
        <v>1581778</v>
      </c>
      <c r="J1133">
        <v>51668452.700000003</v>
      </c>
      <c r="K1133" s="13">
        <v>43994</v>
      </c>
      <c r="L1133">
        <v>6523</v>
      </c>
      <c r="M1133" t="s">
        <v>1887</v>
      </c>
    </row>
    <row r="1134" spans="1:13" x14ac:dyDescent="0.35">
      <c r="A1134" t="s">
        <v>1888</v>
      </c>
      <c r="B1134" t="s">
        <v>18</v>
      </c>
      <c r="C1134">
        <v>6.35</v>
      </c>
      <c r="D1134">
        <v>6.35</v>
      </c>
      <c r="E1134">
        <v>6.05</v>
      </c>
      <c r="F1134">
        <v>6.05</v>
      </c>
      <c r="G1134">
        <v>6.05</v>
      </c>
      <c r="H1134">
        <v>6.35</v>
      </c>
      <c r="I1134">
        <v>11097</v>
      </c>
      <c r="J1134">
        <v>67625.850000000006</v>
      </c>
      <c r="K1134" s="13">
        <v>43994</v>
      </c>
      <c r="L1134">
        <v>54</v>
      </c>
      <c r="M1134" t="s">
        <v>1889</v>
      </c>
    </row>
    <row r="1135" spans="1:13" x14ac:dyDescent="0.35">
      <c r="A1135" t="s">
        <v>1890</v>
      </c>
      <c r="B1135" t="s">
        <v>18</v>
      </c>
      <c r="C1135">
        <v>117.1</v>
      </c>
      <c r="D1135">
        <v>132.5</v>
      </c>
      <c r="E1135">
        <v>117.1</v>
      </c>
      <c r="F1135">
        <v>131.4</v>
      </c>
      <c r="G1135">
        <v>131</v>
      </c>
      <c r="H1135">
        <v>127.7</v>
      </c>
      <c r="I1135">
        <v>275698</v>
      </c>
      <c r="J1135">
        <v>34591899.549999997</v>
      </c>
      <c r="K1135" s="13">
        <v>43994</v>
      </c>
      <c r="L1135">
        <v>5301</v>
      </c>
      <c r="M1135" t="s">
        <v>1891</v>
      </c>
    </row>
    <row r="1136" spans="1:13" x14ac:dyDescent="0.35">
      <c r="A1136" t="s">
        <v>1892</v>
      </c>
      <c r="B1136" t="s">
        <v>18</v>
      </c>
      <c r="C1136">
        <v>14.6</v>
      </c>
      <c r="D1136">
        <v>14.6</v>
      </c>
      <c r="E1136">
        <v>13.3</v>
      </c>
      <c r="F1136">
        <v>14</v>
      </c>
      <c r="G1136">
        <v>14</v>
      </c>
      <c r="H1136">
        <v>13.95</v>
      </c>
      <c r="I1136">
        <v>544880</v>
      </c>
      <c r="J1136">
        <v>7510945.9500000002</v>
      </c>
      <c r="K1136" s="13">
        <v>43994</v>
      </c>
      <c r="L1136">
        <v>1211</v>
      </c>
      <c r="M1136" t="s">
        <v>1893</v>
      </c>
    </row>
    <row r="1137" spans="1:13" x14ac:dyDescent="0.35">
      <c r="A1137" t="s">
        <v>1894</v>
      </c>
      <c r="B1137" t="s">
        <v>18</v>
      </c>
      <c r="C1137">
        <v>8.5</v>
      </c>
      <c r="D1137">
        <v>8.9499999999999993</v>
      </c>
      <c r="E1137">
        <v>8.4</v>
      </c>
      <c r="F1137">
        <v>8.8000000000000007</v>
      </c>
      <c r="G1137">
        <v>8.85</v>
      </c>
      <c r="H1137">
        <v>9.15</v>
      </c>
      <c r="I1137">
        <v>1415506</v>
      </c>
      <c r="J1137">
        <v>12322828.050000001</v>
      </c>
      <c r="K1137" s="13">
        <v>43994</v>
      </c>
      <c r="L1137">
        <v>3823</v>
      </c>
      <c r="M1137" t="s">
        <v>1895</v>
      </c>
    </row>
    <row r="1138" spans="1:13" x14ac:dyDescent="0.35">
      <c r="A1138" t="s">
        <v>1896</v>
      </c>
      <c r="B1138" t="s">
        <v>18</v>
      </c>
      <c r="C1138">
        <v>9.8000000000000007</v>
      </c>
      <c r="D1138">
        <v>10.7</v>
      </c>
      <c r="E1138">
        <v>9.8000000000000007</v>
      </c>
      <c r="F1138">
        <v>10.5</v>
      </c>
      <c r="G1138">
        <v>10.7</v>
      </c>
      <c r="H1138">
        <v>10.3</v>
      </c>
      <c r="I1138">
        <v>4515</v>
      </c>
      <c r="J1138">
        <v>44634.8</v>
      </c>
      <c r="K1138" s="13">
        <v>43994</v>
      </c>
      <c r="L1138">
        <v>130</v>
      </c>
      <c r="M1138" t="s">
        <v>1897</v>
      </c>
    </row>
    <row r="1139" spans="1:13" x14ac:dyDescent="0.35">
      <c r="A1139" t="s">
        <v>1898</v>
      </c>
      <c r="B1139" t="s">
        <v>18</v>
      </c>
      <c r="C1139">
        <v>18.649999999999999</v>
      </c>
      <c r="D1139">
        <v>18.649999999999999</v>
      </c>
      <c r="E1139">
        <v>17.649999999999999</v>
      </c>
      <c r="F1139">
        <v>17.7</v>
      </c>
      <c r="G1139">
        <v>17.649999999999999</v>
      </c>
      <c r="H1139">
        <v>18.55</v>
      </c>
      <c r="I1139">
        <v>69113</v>
      </c>
      <c r="J1139">
        <v>1228358.25</v>
      </c>
      <c r="K1139" s="13">
        <v>43994</v>
      </c>
      <c r="L1139">
        <v>146</v>
      </c>
      <c r="M1139" t="s">
        <v>1899</v>
      </c>
    </row>
    <row r="1140" spans="1:13" x14ac:dyDescent="0.35">
      <c r="A1140" t="s">
        <v>1900</v>
      </c>
      <c r="B1140" t="s">
        <v>18</v>
      </c>
      <c r="C1140">
        <v>26.25</v>
      </c>
      <c r="D1140">
        <v>26.5</v>
      </c>
      <c r="E1140">
        <v>24.4</v>
      </c>
      <c r="F1140">
        <v>26.15</v>
      </c>
      <c r="G1140">
        <v>26.2</v>
      </c>
      <c r="H1140">
        <v>26.25</v>
      </c>
      <c r="I1140">
        <v>5674</v>
      </c>
      <c r="J1140">
        <v>146374.20000000001</v>
      </c>
      <c r="K1140" s="13">
        <v>43994</v>
      </c>
      <c r="L1140">
        <v>96</v>
      </c>
      <c r="M1140" t="s">
        <v>1901</v>
      </c>
    </row>
    <row r="1141" spans="1:13" x14ac:dyDescent="0.35">
      <c r="A1141" t="s">
        <v>1902</v>
      </c>
      <c r="B1141" t="s">
        <v>18</v>
      </c>
      <c r="C1141">
        <v>47</v>
      </c>
      <c r="D1141">
        <v>49.9</v>
      </c>
      <c r="E1141">
        <v>46</v>
      </c>
      <c r="F1141">
        <v>47.25</v>
      </c>
      <c r="G1141">
        <v>47</v>
      </c>
      <c r="H1141">
        <v>47</v>
      </c>
      <c r="I1141">
        <v>3807007</v>
      </c>
      <c r="J1141">
        <v>183210258.75</v>
      </c>
      <c r="K1141" s="13">
        <v>43994</v>
      </c>
      <c r="L1141">
        <v>20958</v>
      </c>
      <c r="M1141" t="s">
        <v>1903</v>
      </c>
    </row>
    <row r="1142" spans="1:13" x14ac:dyDescent="0.35">
      <c r="A1142" t="s">
        <v>1904</v>
      </c>
      <c r="B1142" t="s">
        <v>18</v>
      </c>
      <c r="C1142">
        <v>90.5</v>
      </c>
      <c r="D1142">
        <v>93.7</v>
      </c>
      <c r="E1142">
        <v>89.3</v>
      </c>
      <c r="F1142">
        <v>92.95</v>
      </c>
      <c r="G1142">
        <v>93</v>
      </c>
      <c r="H1142">
        <v>93.95</v>
      </c>
      <c r="I1142">
        <v>29198</v>
      </c>
      <c r="J1142">
        <v>2646120.35</v>
      </c>
      <c r="K1142" s="13">
        <v>43994</v>
      </c>
      <c r="L1142">
        <v>583</v>
      </c>
      <c r="M1142" t="s">
        <v>1905</v>
      </c>
    </row>
    <row r="1143" spans="1:13" x14ac:dyDescent="0.35">
      <c r="A1143" t="s">
        <v>1906</v>
      </c>
      <c r="B1143" t="s">
        <v>18</v>
      </c>
      <c r="C1143">
        <v>17.100000000000001</v>
      </c>
      <c r="D1143">
        <v>18.899999999999999</v>
      </c>
      <c r="E1143">
        <v>16.5</v>
      </c>
      <c r="F1143">
        <v>18.25</v>
      </c>
      <c r="G1143">
        <v>18.05</v>
      </c>
      <c r="H1143">
        <v>18.100000000000001</v>
      </c>
      <c r="I1143">
        <v>195855</v>
      </c>
      <c r="J1143">
        <v>3433225.5</v>
      </c>
      <c r="K1143" s="13">
        <v>43994</v>
      </c>
      <c r="L1143">
        <v>1308</v>
      </c>
      <c r="M1143" t="s">
        <v>1907</v>
      </c>
    </row>
    <row r="1144" spans="1:13" x14ac:dyDescent="0.35">
      <c r="A1144" t="s">
        <v>1908</v>
      </c>
      <c r="B1144" t="s">
        <v>18</v>
      </c>
      <c r="C1144">
        <v>397</v>
      </c>
      <c r="D1144">
        <v>420</v>
      </c>
      <c r="E1144">
        <v>384.65</v>
      </c>
      <c r="F1144">
        <v>400.3</v>
      </c>
      <c r="G1144">
        <v>412.95</v>
      </c>
      <c r="H1144">
        <v>404.85</v>
      </c>
      <c r="I1144">
        <v>97970</v>
      </c>
      <c r="J1144">
        <v>38872067.899999999</v>
      </c>
      <c r="K1144" s="13">
        <v>43994</v>
      </c>
      <c r="L1144">
        <v>2928</v>
      </c>
      <c r="M1144" t="s">
        <v>1909</v>
      </c>
    </row>
    <row r="1145" spans="1:13" x14ac:dyDescent="0.35">
      <c r="A1145" t="s">
        <v>1910</v>
      </c>
      <c r="B1145" t="s">
        <v>18</v>
      </c>
      <c r="C1145">
        <v>910.4</v>
      </c>
      <c r="D1145">
        <v>985</v>
      </c>
      <c r="E1145">
        <v>905</v>
      </c>
      <c r="F1145">
        <v>979.6</v>
      </c>
      <c r="G1145">
        <v>976.65</v>
      </c>
      <c r="H1145">
        <v>959.75</v>
      </c>
      <c r="I1145">
        <v>2185560</v>
      </c>
      <c r="J1145">
        <v>2104675698.05</v>
      </c>
      <c r="K1145" s="13">
        <v>43994</v>
      </c>
      <c r="L1145">
        <v>60069</v>
      </c>
      <c r="M1145" t="s">
        <v>1911</v>
      </c>
    </row>
    <row r="1146" spans="1:13" x14ac:dyDescent="0.35">
      <c r="A1146" t="s">
        <v>1912</v>
      </c>
      <c r="B1146" t="s">
        <v>18</v>
      </c>
      <c r="C1146">
        <v>735</v>
      </c>
      <c r="D1146">
        <v>735</v>
      </c>
      <c r="E1146">
        <v>683.3</v>
      </c>
      <c r="F1146">
        <v>725.57</v>
      </c>
      <c r="G1146">
        <v>727</v>
      </c>
      <c r="H1146">
        <v>739.69</v>
      </c>
      <c r="I1146">
        <v>114210</v>
      </c>
      <c r="J1146">
        <v>82163492.530000001</v>
      </c>
      <c r="K1146" s="13">
        <v>43994</v>
      </c>
      <c r="L1146">
        <v>3784</v>
      </c>
      <c r="M1146" t="s">
        <v>1913</v>
      </c>
    </row>
    <row r="1147" spans="1:13" x14ac:dyDescent="0.35">
      <c r="A1147" t="s">
        <v>3771</v>
      </c>
      <c r="B1147" t="s">
        <v>3430</v>
      </c>
      <c r="C1147">
        <v>1227</v>
      </c>
      <c r="D1147">
        <v>1235</v>
      </c>
      <c r="E1147">
        <v>1227</v>
      </c>
      <c r="F1147">
        <v>1233.01</v>
      </c>
      <c r="G1147">
        <v>1235</v>
      </c>
      <c r="H1147">
        <v>1226</v>
      </c>
      <c r="I1147">
        <v>1252</v>
      </c>
      <c r="J1147">
        <v>1539709.9</v>
      </c>
      <c r="K1147" s="13">
        <v>43994</v>
      </c>
      <c r="L1147">
        <v>13</v>
      </c>
      <c r="M1147" t="s">
        <v>3772</v>
      </c>
    </row>
    <row r="1148" spans="1:13" x14ac:dyDescent="0.35">
      <c r="A1148" t="s">
        <v>1914</v>
      </c>
      <c r="B1148" t="s">
        <v>18</v>
      </c>
      <c r="C1148">
        <v>25.9</v>
      </c>
      <c r="D1148">
        <v>26.4</v>
      </c>
      <c r="E1148">
        <v>24.3</v>
      </c>
      <c r="F1148">
        <v>26</v>
      </c>
      <c r="G1148">
        <v>25.7</v>
      </c>
      <c r="H1148">
        <v>26.4</v>
      </c>
      <c r="I1148">
        <v>46939</v>
      </c>
      <c r="J1148">
        <v>1202158.55</v>
      </c>
      <c r="K1148" s="13">
        <v>43994</v>
      </c>
      <c r="L1148">
        <v>358</v>
      </c>
      <c r="M1148" t="s">
        <v>1915</v>
      </c>
    </row>
    <row r="1149" spans="1:13" x14ac:dyDescent="0.35">
      <c r="A1149" t="s">
        <v>1916</v>
      </c>
      <c r="B1149" t="s">
        <v>18</v>
      </c>
      <c r="C1149">
        <v>7</v>
      </c>
      <c r="D1149">
        <v>7</v>
      </c>
      <c r="E1149">
        <v>6.85</v>
      </c>
      <c r="F1149">
        <v>6.85</v>
      </c>
      <c r="G1149">
        <v>6.85</v>
      </c>
      <c r="H1149">
        <v>7.2</v>
      </c>
      <c r="I1149">
        <v>1196493</v>
      </c>
      <c r="J1149">
        <v>8211977.1500000004</v>
      </c>
      <c r="K1149" s="13">
        <v>43994</v>
      </c>
      <c r="L1149">
        <v>1073</v>
      </c>
      <c r="M1149" t="s">
        <v>1917</v>
      </c>
    </row>
    <row r="1150" spans="1:13" x14ac:dyDescent="0.35">
      <c r="A1150" t="s">
        <v>1918</v>
      </c>
      <c r="B1150" t="s">
        <v>18</v>
      </c>
      <c r="C1150">
        <v>12.15</v>
      </c>
      <c r="D1150">
        <v>13.4</v>
      </c>
      <c r="E1150">
        <v>12.15</v>
      </c>
      <c r="F1150">
        <v>13</v>
      </c>
      <c r="G1150">
        <v>12.55</v>
      </c>
      <c r="H1150">
        <v>13.45</v>
      </c>
      <c r="I1150">
        <v>3960</v>
      </c>
      <c r="J1150">
        <v>49820.800000000003</v>
      </c>
      <c r="K1150" s="13">
        <v>43994</v>
      </c>
      <c r="L1150">
        <v>42</v>
      </c>
      <c r="M1150" t="s">
        <v>1919</v>
      </c>
    </row>
    <row r="1151" spans="1:13" x14ac:dyDescent="0.35">
      <c r="A1151" t="s">
        <v>1920</v>
      </c>
      <c r="B1151" t="s">
        <v>18</v>
      </c>
      <c r="C1151">
        <v>63.6</v>
      </c>
      <c r="D1151">
        <v>65.650000000000006</v>
      </c>
      <c r="E1151">
        <v>60.75</v>
      </c>
      <c r="F1151">
        <v>65.349999999999994</v>
      </c>
      <c r="G1151">
        <v>65.650000000000006</v>
      </c>
      <c r="H1151">
        <v>66.099999999999994</v>
      </c>
      <c r="I1151">
        <v>2316</v>
      </c>
      <c r="J1151">
        <v>145083</v>
      </c>
      <c r="K1151" s="13">
        <v>43994</v>
      </c>
      <c r="L1151">
        <v>38</v>
      </c>
      <c r="M1151" t="s">
        <v>1921</v>
      </c>
    </row>
    <row r="1152" spans="1:13" x14ac:dyDescent="0.35">
      <c r="A1152" t="s">
        <v>1922</v>
      </c>
      <c r="B1152" t="s">
        <v>18</v>
      </c>
      <c r="C1152">
        <v>25.45</v>
      </c>
      <c r="D1152">
        <v>26</v>
      </c>
      <c r="E1152">
        <v>22.2</v>
      </c>
      <c r="F1152">
        <v>25.35</v>
      </c>
      <c r="G1152">
        <v>25.85</v>
      </c>
      <c r="H1152">
        <v>25.5</v>
      </c>
      <c r="I1152">
        <v>9449</v>
      </c>
      <c r="J1152">
        <v>233634.35</v>
      </c>
      <c r="K1152" s="13">
        <v>43994</v>
      </c>
      <c r="L1152">
        <v>123</v>
      </c>
      <c r="M1152" t="s">
        <v>1923</v>
      </c>
    </row>
    <row r="1153" spans="1:13" x14ac:dyDescent="0.35">
      <c r="A1153" t="s">
        <v>1924</v>
      </c>
      <c r="B1153" t="s">
        <v>18</v>
      </c>
      <c r="C1153">
        <v>50.7</v>
      </c>
      <c r="D1153">
        <v>54.4</v>
      </c>
      <c r="E1153">
        <v>48.9</v>
      </c>
      <c r="F1153">
        <v>53.9</v>
      </c>
      <c r="G1153">
        <v>53.6</v>
      </c>
      <c r="H1153">
        <v>54.3</v>
      </c>
      <c r="I1153">
        <v>37831</v>
      </c>
      <c r="J1153">
        <v>1956428.35</v>
      </c>
      <c r="K1153" s="13">
        <v>43994</v>
      </c>
      <c r="L1153">
        <v>510</v>
      </c>
      <c r="M1153" t="s">
        <v>1925</v>
      </c>
    </row>
    <row r="1154" spans="1:13" x14ac:dyDescent="0.35">
      <c r="A1154" t="s">
        <v>1926</v>
      </c>
      <c r="B1154" t="s">
        <v>18</v>
      </c>
      <c r="C1154">
        <v>36.549999999999997</v>
      </c>
      <c r="D1154">
        <v>36.549999999999997</v>
      </c>
      <c r="E1154">
        <v>33</v>
      </c>
      <c r="F1154">
        <v>36.15</v>
      </c>
      <c r="G1154">
        <v>36.35</v>
      </c>
      <c r="H1154">
        <v>36.6</v>
      </c>
      <c r="I1154">
        <v>10113</v>
      </c>
      <c r="J1154">
        <v>356819.8</v>
      </c>
      <c r="K1154" s="13">
        <v>43994</v>
      </c>
      <c r="L1154">
        <v>173</v>
      </c>
      <c r="M1154" t="s">
        <v>1927</v>
      </c>
    </row>
    <row r="1155" spans="1:13" x14ac:dyDescent="0.35">
      <c r="A1155" t="s">
        <v>1928</v>
      </c>
      <c r="B1155" t="s">
        <v>18</v>
      </c>
      <c r="C1155">
        <v>258</v>
      </c>
      <c r="D1155">
        <v>277.35000000000002</v>
      </c>
      <c r="E1155">
        <v>256.39999999999998</v>
      </c>
      <c r="F1155">
        <v>275.89999999999998</v>
      </c>
      <c r="G1155">
        <v>275.64999999999998</v>
      </c>
      <c r="H1155">
        <v>271.45</v>
      </c>
      <c r="I1155">
        <v>1220318</v>
      </c>
      <c r="J1155">
        <v>330294319.94999999</v>
      </c>
      <c r="K1155" s="13">
        <v>43994</v>
      </c>
      <c r="L1155">
        <v>23922</v>
      </c>
      <c r="M1155" t="s">
        <v>1929</v>
      </c>
    </row>
    <row r="1156" spans="1:13" x14ac:dyDescent="0.35">
      <c r="A1156" t="s">
        <v>1930</v>
      </c>
      <c r="B1156" t="s">
        <v>18</v>
      </c>
      <c r="C1156">
        <v>590.04999999999995</v>
      </c>
      <c r="D1156">
        <v>604.9</v>
      </c>
      <c r="E1156">
        <v>590.04999999999995</v>
      </c>
      <c r="F1156">
        <v>602.6</v>
      </c>
      <c r="G1156">
        <v>603</v>
      </c>
      <c r="H1156">
        <v>615.6</v>
      </c>
      <c r="I1156">
        <v>190049</v>
      </c>
      <c r="J1156">
        <v>113433619.95</v>
      </c>
      <c r="K1156" s="13">
        <v>43994</v>
      </c>
      <c r="L1156">
        <v>7439</v>
      </c>
      <c r="M1156" t="s">
        <v>1931</v>
      </c>
    </row>
    <row r="1157" spans="1:13" x14ac:dyDescent="0.35">
      <c r="A1157" t="s">
        <v>1932</v>
      </c>
      <c r="B1157" t="s">
        <v>18</v>
      </c>
      <c r="C1157">
        <v>328</v>
      </c>
      <c r="D1157">
        <v>333</v>
      </c>
      <c r="E1157">
        <v>315</v>
      </c>
      <c r="F1157">
        <v>327.14999999999998</v>
      </c>
      <c r="G1157">
        <v>329.9</v>
      </c>
      <c r="H1157">
        <v>328.65</v>
      </c>
      <c r="I1157">
        <v>17427</v>
      </c>
      <c r="J1157">
        <v>5629227.5999999996</v>
      </c>
      <c r="K1157" s="13">
        <v>43994</v>
      </c>
      <c r="L1157">
        <v>537</v>
      </c>
      <c r="M1157" t="s">
        <v>1933</v>
      </c>
    </row>
    <row r="1158" spans="1:13" x14ac:dyDescent="0.35">
      <c r="A1158" t="s">
        <v>1934</v>
      </c>
      <c r="B1158" t="s">
        <v>18</v>
      </c>
      <c r="C1158">
        <v>30</v>
      </c>
      <c r="D1158">
        <v>31.6</v>
      </c>
      <c r="E1158">
        <v>29.6</v>
      </c>
      <c r="F1158">
        <v>31.4</v>
      </c>
      <c r="G1158">
        <v>31.2</v>
      </c>
      <c r="H1158">
        <v>31.2</v>
      </c>
      <c r="I1158">
        <v>11639289</v>
      </c>
      <c r="J1158">
        <v>354969942.64999998</v>
      </c>
      <c r="K1158" s="13">
        <v>43994</v>
      </c>
      <c r="L1158">
        <v>35006</v>
      </c>
      <c r="M1158" t="s">
        <v>1935</v>
      </c>
    </row>
    <row r="1159" spans="1:13" x14ac:dyDescent="0.35">
      <c r="A1159" t="s">
        <v>1936</v>
      </c>
      <c r="B1159" t="s">
        <v>18</v>
      </c>
      <c r="C1159">
        <v>3.3</v>
      </c>
      <c r="D1159">
        <v>3.3</v>
      </c>
      <c r="E1159">
        <v>3.3</v>
      </c>
      <c r="F1159">
        <v>3.3</v>
      </c>
      <c r="G1159">
        <v>3.3</v>
      </c>
      <c r="H1159">
        <v>3.15</v>
      </c>
      <c r="I1159">
        <v>10015</v>
      </c>
      <c r="J1159">
        <v>33049.5</v>
      </c>
      <c r="K1159" s="13">
        <v>43994</v>
      </c>
      <c r="L1159">
        <v>18</v>
      </c>
      <c r="M1159" t="s">
        <v>1937</v>
      </c>
    </row>
    <row r="1160" spans="1:13" x14ac:dyDescent="0.35">
      <c r="A1160" t="s">
        <v>1938</v>
      </c>
      <c r="B1160" t="s">
        <v>18</v>
      </c>
      <c r="C1160">
        <v>2650</v>
      </c>
      <c r="D1160">
        <v>2844.75</v>
      </c>
      <c r="E1160">
        <v>2650</v>
      </c>
      <c r="F1160">
        <v>2820.5</v>
      </c>
      <c r="G1160">
        <v>2819.45</v>
      </c>
      <c r="H1160">
        <v>2740.1</v>
      </c>
      <c r="I1160">
        <v>719697</v>
      </c>
      <c r="J1160">
        <v>2005270534.45</v>
      </c>
      <c r="K1160" s="13">
        <v>43994</v>
      </c>
      <c r="L1160">
        <v>50203</v>
      </c>
      <c r="M1160" t="s">
        <v>1939</v>
      </c>
    </row>
    <row r="1161" spans="1:13" x14ac:dyDescent="0.35">
      <c r="A1161" t="s">
        <v>1940</v>
      </c>
      <c r="B1161" t="s">
        <v>18</v>
      </c>
      <c r="C1161">
        <v>1470</v>
      </c>
      <c r="D1161">
        <v>1592</v>
      </c>
      <c r="E1161">
        <v>1470</v>
      </c>
      <c r="F1161">
        <v>1566.35</v>
      </c>
      <c r="G1161">
        <v>1568</v>
      </c>
      <c r="H1161">
        <v>1520.6</v>
      </c>
      <c r="I1161">
        <v>135174</v>
      </c>
      <c r="J1161">
        <v>209696540.90000001</v>
      </c>
      <c r="K1161" s="13">
        <v>43994</v>
      </c>
      <c r="L1161">
        <v>8870</v>
      </c>
      <c r="M1161" t="s">
        <v>1941</v>
      </c>
    </row>
    <row r="1162" spans="1:13" x14ac:dyDescent="0.35">
      <c r="A1162" t="s">
        <v>1942</v>
      </c>
      <c r="B1162" t="s">
        <v>18</v>
      </c>
      <c r="C1162">
        <v>25.1</v>
      </c>
      <c r="D1162">
        <v>26.15</v>
      </c>
      <c r="E1162">
        <v>24.75</v>
      </c>
      <c r="F1162">
        <v>25.8</v>
      </c>
      <c r="G1162">
        <v>26.15</v>
      </c>
      <c r="H1162">
        <v>26.4</v>
      </c>
      <c r="I1162">
        <v>357189</v>
      </c>
      <c r="J1162">
        <v>9081775</v>
      </c>
      <c r="K1162" s="13">
        <v>43994</v>
      </c>
      <c r="L1162">
        <v>1873</v>
      </c>
      <c r="M1162" t="s">
        <v>1943</v>
      </c>
    </row>
    <row r="1163" spans="1:13" x14ac:dyDescent="0.35">
      <c r="A1163" t="s">
        <v>1944</v>
      </c>
      <c r="B1163" t="s">
        <v>18</v>
      </c>
      <c r="C1163">
        <v>65.95</v>
      </c>
      <c r="D1163">
        <v>71.8</v>
      </c>
      <c r="E1163">
        <v>65.3</v>
      </c>
      <c r="F1163">
        <v>69.7</v>
      </c>
      <c r="G1163">
        <v>69.95</v>
      </c>
      <c r="H1163">
        <v>68.599999999999994</v>
      </c>
      <c r="I1163">
        <v>118034</v>
      </c>
      <c r="J1163">
        <v>8195868.7000000002</v>
      </c>
      <c r="K1163" s="13">
        <v>43994</v>
      </c>
      <c r="L1163">
        <v>1962</v>
      </c>
      <c r="M1163" t="s">
        <v>1945</v>
      </c>
    </row>
    <row r="1164" spans="1:13" x14ac:dyDescent="0.35">
      <c r="A1164" t="s">
        <v>1946</v>
      </c>
      <c r="B1164" t="s">
        <v>18</v>
      </c>
      <c r="C1164">
        <v>21.25</v>
      </c>
      <c r="D1164">
        <v>23.7</v>
      </c>
      <c r="E1164">
        <v>21.05</v>
      </c>
      <c r="F1164">
        <v>23.5</v>
      </c>
      <c r="G1164">
        <v>23.55</v>
      </c>
      <c r="H1164">
        <v>23.25</v>
      </c>
      <c r="I1164">
        <v>16073720</v>
      </c>
      <c r="J1164">
        <v>365500747.44999999</v>
      </c>
      <c r="K1164" s="13">
        <v>43994</v>
      </c>
      <c r="L1164">
        <v>41352</v>
      </c>
      <c r="M1164" t="s">
        <v>1947</v>
      </c>
    </row>
    <row r="1165" spans="1:13" x14ac:dyDescent="0.35">
      <c r="A1165" t="s">
        <v>1948</v>
      </c>
      <c r="B1165" t="s">
        <v>18</v>
      </c>
      <c r="C1165">
        <v>1645.2</v>
      </c>
      <c r="D1165">
        <v>1645.2</v>
      </c>
      <c r="E1165">
        <v>1645.2</v>
      </c>
      <c r="F1165">
        <v>1645.2</v>
      </c>
      <c r="G1165">
        <v>1645.2</v>
      </c>
      <c r="H1165">
        <v>1560</v>
      </c>
      <c r="I1165">
        <v>4</v>
      </c>
      <c r="J1165">
        <v>6580.8</v>
      </c>
      <c r="K1165" s="13">
        <v>43994</v>
      </c>
      <c r="L1165">
        <v>1</v>
      </c>
      <c r="M1165" t="s">
        <v>1949</v>
      </c>
    </row>
    <row r="1166" spans="1:13" x14ac:dyDescent="0.35">
      <c r="A1166" t="s">
        <v>1950</v>
      </c>
      <c r="B1166" t="s">
        <v>18</v>
      </c>
      <c r="C1166">
        <v>37.25</v>
      </c>
      <c r="D1166">
        <v>38</v>
      </c>
      <c r="E1166">
        <v>36.9</v>
      </c>
      <c r="F1166">
        <v>37.700000000000003</v>
      </c>
      <c r="G1166">
        <v>37.700000000000003</v>
      </c>
      <c r="H1166">
        <v>38.049999999999997</v>
      </c>
      <c r="I1166">
        <v>333551</v>
      </c>
      <c r="J1166">
        <v>12431452.65</v>
      </c>
      <c r="K1166" s="13">
        <v>43994</v>
      </c>
      <c r="L1166">
        <v>1179</v>
      </c>
      <c r="M1166" t="s">
        <v>1951</v>
      </c>
    </row>
    <row r="1167" spans="1:13" x14ac:dyDescent="0.35">
      <c r="A1167" t="s">
        <v>1952</v>
      </c>
      <c r="B1167" t="s">
        <v>18</v>
      </c>
      <c r="C1167">
        <v>27.3</v>
      </c>
      <c r="D1167">
        <v>30.75</v>
      </c>
      <c r="E1167">
        <v>27.3</v>
      </c>
      <c r="F1167">
        <v>30.55</v>
      </c>
      <c r="G1167">
        <v>30.45</v>
      </c>
      <c r="H1167">
        <v>29.45</v>
      </c>
      <c r="I1167">
        <v>41851869</v>
      </c>
      <c r="J1167">
        <v>1225202980.5</v>
      </c>
      <c r="K1167" s="13">
        <v>43994</v>
      </c>
      <c r="L1167">
        <v>47616</v>
      </c>
      <c r="M1167" t="s">
        <v>1953</v>
      </c>
    </row>
    <row r="1168" spans="1:13" x14ac:dyDescent="0.35">
      <c r="A1168" t="s">
        <v>1954</v>
      </c>
      <c r="B1168" t="s">
        <v>18</v>
      </c>
      <c r="C1168">
        <v>68.400000000000006</v>
      </c>
      <c r="D1168">
        <v>75.150000000000006</v>
      </c>
      <c r="E1168">
        <v>66</v>
      </c>
      <c r="F1168">
        <v>72.8</v>
      </c>
      <c r="G1168">
        <v>72.599999999999994</v>
      </c>
      <c r="H1168">
        <v>71</v>
      </c>
      <c r="I1168">
        <v>3213925</v>
      </c>
      <c r="J1168">
        <v>235133534.80000001</v>
      </c>
      <c r="K1168" s="13">
        <v>43994</v>
      </c>
      <c r="L1168">
        <v>20045</v>
      </c>
      <c r="M1168" t="s">
        <v>1955</v>
      </c>
    </row>
    <row r="1169" spans="1:13" x14ac:dyDescent="0.35">
      <c r="A1169" t="s">
        <v>1956</v>
      </c>
      <c r="B1169" t="s">
        <v>18</v>
      </c>
      <c r="C1169">
        <v>494.4</v>
      </c>
      <c r="D1169">
        <v>529</v>
      </c>
      <c r="E1169">
        <v>470</v>
      </c>
      <c r="F1169">
        <v>522.25</v>
      </c>
      <c r="G1169">
        <v>529</v>
      </c>
      <c r="H1169">
        <v>515</v>
      </c>
      <c r="I1169">
        <v>64</v>
      </c>
      <c r="J1169">
        <v>32105.200000000001</v>
      </c>
      <c r="K1169" s="13">
        <v>43994</v>
      </c>
      <c r="L1169">
        <v>22</v>
      </c>
      <c r="M1169" t="s">
        <v>1957</v>
      </c>
    </row>
    <row r="1170" spans="1:13" x14ac:dyDescent="0.35">
      <c r="A1170" t="s">
        <v>1958</v>
      </c>
      <c r="B1170" t="s">
        <v>18</v>
      </c>
      <c r="C1170">
        <v>18.899999999999999</v>
      </c>
      <c r="D1170">
        <v>19.600000000000001</v>
      </c>
      <c r="E1170">
        <v>17.899999999999999</v>
      </c>
      <c r="F1170">
        <v>19.2</v>
      </c>
      <c r="G1170">
        <v>19.05</v>
      </c>
      <c r="H1170">
        <v>19.850000000000001</v>
      </c>
      <c r="I1170">
        <v>41914</v>
      </c>
      <c r="J1170">
        <v>795866.3</v>
      </c>
      <c r="K1170" s="13">
        <v>43994</v>
      </c>
      <c r="L1170">
        <v>240</v>
      </c>
      <c r="M1170" t="s">
        <v>1959</v>
      </c>
    </row>
    <row r="1171" spans="1:13" x14ac:dyDescent="0.35">
      <c r="A1171" t="s">
        <v>3773</v>
      </c>
      <c r="B1171" t="s">
        <v>3391</v>
      </c>
      <c r="C1171">
        <v>36.85</v>
      </c>
      <c r="D1171">
        <v>37.35</v>
      </c>
      <c r="E1171">
        <v>35.049999999999997</v>
      </c>
      <c r="F1171">
        <v>36.200000000000003</v>
      </c>
      <c r="G1171">
        <v>36.450000000000003</v>
      </c>
      <c r="H1171">
        <v>36.85</v>
      </c>
      <c r="I1171">
        <v>17690</v>
      </c>
      <c r="J1171">
        <v>638778.35</v>
      </c>
      <c r="K1171" s="13">
        <v>43994</v>
      </c>
      <c r="L1171">
        <v>242</v>
      </c>
      <c r="M1171" t="s">
        <v>3774</v>
      </c>
    </row>
    <row r="1172" spans="1:13" x14ac:dyDescent="0.35">
      <c r="A1172" t="s">
        <v>1960</v>
      </c>
      <c r="B1172" t="s">
        <v>18</v>
      </c>
      <c r="C1172">
        <v>5.7</v>
      </c>
      <c r="D1172">
        <v>5.85</v>
      </c>
      <c r="E1172">
        <v>5.2</v>
      </c>
      <c r="F1172">
        <v>5.75</v>
      </c>
      <c r="G1172">
        <v>5.7</v>
      </c>
      <c r="H1172">
        <v>5.85</v>
      </c>
      <c r="I1172">
        <v>54666</v>
      </c>
      <c r="J1172">
        <v>312233.95</v>
      </c>
      <c r="K1172" s="13">
        <v>43994</v>
      </c>
      <c r="L1172">
        <v>122</v>
      </c>
      <c r="M1172" t="s">
        <v>1961</v>
      </c>
    </row>
    <row r="1173" spans="1:13" x14ac:dyDescent="0.35">
      <c r="A1173" t="s">
        <v>1962</v>
      </c>
      <c r="B1173" t="s">
        <v>18</v>
      </c>
      <c r="C1173">
        <v>14</v>
      </c>
      <c r="D1173">
        <v>16.3</v>
      </c>
      <c r="E1173">
        <v>14</v>
      </c>
      <c r="F1173">
        <v>15.9</v>
      </c>
      <c r="G1173">
        <v>15.8</v>
      </c>
      <c r="H1173">
        <v>15.45</v>
      </c>
      <c r="I1173">
        <v>1487865</v>
      </c>
      <c r="J1173">
        <v>23121703.5</v>
      </c>
      <c r="K1173" s="13">
        <v>43994</v>
      </c>
      <c r="L1173">
        <v>4799</v>
      </c>
      <c r="M1173" t="s">
        <v>1963</v>
      </c>
    </row>
    <row r="1174" spans="1:13" x14ac:dyDescent="0.35">
      <c r="A1174" t="s">
        <v>1964</v>
      </c>
      <c r="B1174" t="s">
        <v>18</v>
      </c>
      <c r="C1174">
        <v>43.75</v>
      </c>
      <c r="D1174">
        <v>47.8</v>
      </c>
      <c r="E1174">
        <v>42</v>
      </c>
      <c r="F1174">
        <v>46.65</v>
      </c>
      <c r="G1174">
        <v>45.65</v>
      </c>
      <c r="H1174">
        <v>44.8</v>
      </c>
      <c r="I1174">
        <v>267359</v>
      </c>
      <c r="J1174">
        <v>12213854.5</v>
      </c>
      <c r="K1174" s="13">
        <v>43994</v>
      </c>
      <c r="L1174">
        <v>2044</v>
      </c>
      <c r="M1174" t="s">
        <v>1965</v>
      </c>
    </row>
    <row r="1175" spans="1:13" x14ac:dyDescent="0.35">
      <c r="A1175" t="s">
        <v>1966</v>
      </c>
      <c r="B1175" t="s">
        <v>18</v>
      </c>
      <c r="C1175">
        <v>175</v>
      </c>
      <c r="D1175">
        <v>188.9</v>
      </c>
      <c r="E1175">
        <v>175</v>
      </c>
      <c r="F1175">
        <v>185.85</v>
      </c>
      <c r="G1175">
        <v>186</v>
      </c>
      <c r="H1175">
        <v>189.2</v>
      </c>
      <c r="I1175">
        <v>46887</v>
      </c>
      <c r="J1175">
        <v>8611365.4000000004</v>
      </c>
      <c r="K1175" s="13">
        <v>43994</v>
      </c>
      <c r="L1175">
        <v>1443</v>
      </c>
      <c r="M1175" t="s">
        <v>1967</v>
      </c>
    </row>
    <row r="1176" spans="1:13" x14ac:dyDescent="0.35">
      <c r="A1176" t="s">
        <v>1968</v>
      </c>
      <c r="B1176" t="s">
        <v>18</v>
      </c>
      <c r="C1176">
        <v>496.8</v>
      </c>
      <c r="D1176">
        <v>535</v>
      </c>
      <c r="E1176">
        <v>491.45</v>
      </c>
      <c r="F1176">
        <v>503.4</v>
      </c>
      <c r="G1176">
        <v>500</v>
      </c>
      <c r="H1176">
        <v>511.25</v>
      </c>
      <c r="I1176">
        <v>66797</v>
      </c>
      <c r="J1176">
        <v>34233784.399999999</v>
      </c>
      <c r="K1176" s="13">
        <v>43994</v>
      </c>
      <c r="L1176">
        <v>3353</v>
      </c>
      <c r="M1176" t="s">
        <v>1969</v>
      </c>
    </row>
    <row r="1177" spans="1:13" x14ac:dyDescent="0.35">
      <c r="A1177" t="s">
        <v>1970</v>
      </c>
      <c r="B1177" t="s">
        <v>18</v>
      </c>
      <c r="C1177">
        <v>430.05</v>
      </c>
      <c r="D1177">
        <v>451.95</v>
      </c>
      <c r="E1177">
        <v>427.6</v>
      </c>
      <c r="F1177">
        <v>447.8</v>
      </c>
      <c r="G1177">
        <v>448</v>
      </c>
      <c r="H1177">
        <v>445.3</v>
      </c>
      <c r="I1177">
        <v>45406</v>
      </c>
      <c r="J1177">
        <v>19970878.149999999</v>
      </c>
      <c r="K1177" s="13">
        <v>43994</v>
      </c>
      <c r="L1177">
        <v>2404</v>
      </c>
      <c r="M1177" t="s">
        <v>1971</v>
      </c>
    </row>
    <row r="1178" spans="1:13" x14ac:dyDescent="0.35">
      <c r="A1178" t="s">
        <v>1972</v>
      </c>
      <c r="B1178" t="s">
        <v>18</v>
      </c>
      <c r="C1178">
        <v>16300</v>
      </c>
      <c r="D1178">
        <v>16717.099999999999</v>
      </c>
      <c r="E1178">
        <v>16300</v>
      </c>
      <c r="F1178">
        <v>16496.3</v>
      </c>
      <c r="G1178">
        <v>16500</v>
      </c>
      <c r="H1178">
        <v>16608.25</v>
      </c>
      <c r="I1178">
        <v>140678</v>
      </c>
      <c r="J1178">
        <v>2324910773.1999998</v>
      </c>
      <c r="K1178" s="13">
        <v>43994</v>
      </c>
      <c r="L1178">
        <v>35222</v>
      </c>
      <c r="M1178" t="s">
        <v>1973</v>
      </c>
    </row>
    <row r="1179" spans="1:13" x14ac:dyDescent="0.35">
      <c r="A1179" t="s">
        <v>1974</v>
      </c>
      <c r="B1179" t="s">
        <v>18</v>
      </c>
      <c r="C1179">
        <v>101.3</v>
      </c>
      <c r="D1179">
        <v>104.46</v>
      </c>
      <c r="E1179">
        <v>99.5</v>
      </c>
      <c r="F1179">
        <v>103.5</v>
      </c>
      <c r="G1179">
        <v>103.75</v>
      </c>
      <c r="H1179">
        <v>103.12</v>
      </c>
      <c r="I1179">
        <v>329</v>
      </c>
      <c r="J1179">
        <v>33376.17</v>
      </c>
      <c r="K1179" s="13">
        <v>43994</v>
      </c>
      <c r="L1179">
        <v>31</v>
      </c>
      <c r="M1179" t="s">
        <v>1975</v>
      </c>
    </row>
    <row r="1180" spans="1:13" x14ac:dyDescent="0.35">
      <c r="A1180" t="s">
        <v>1976</v>
      </c>
      <c r="B1180" t="s">
        <v>18</v>
      </c>
      <c r="C1180">
        <v>49.22</v>
      </c>
      <c r="D1180">
        <v>50.3</v>
      </c>
      <c r="E1180">
        <v>48.1</v>
      </c>
      <c r="F1180">
        <v>50.3</v>
      </c>
      <c r="G1180">
        <v>50.3</v>
      </c>
      <c r="H1180">
        <v>49.5</v>
      </c>
      <c r="I1180">
        <v>1276</v>
      </c>
      <c r="J1180">
        <v>63001.41</v>
      </c>
      <c r="K1180" s="13">
        <v>43994</v>
      </c>
      <c r="L1180">
        <v>42</v>
      </c>
      <c r="M1180" t="s">
        <v>1977</v>
      </c>
    </row>
    <row r="1181" spans="1:13" x14ac:dyDescent="0.35">
      <c r="A1181" t="s">
        <v>1978</v>
      </c>
      <c r="B1181" t="s">
        <v>18</v>
      </c>
      <c r="C1181">
        <v>26.55</v>
      </c>
      <c r="D1181">
        <v>26.55</v>
      </c>
      <c r="E1181">
        <v>25.47</v>
      </c>
      <c r="F1181">
        <v>26.55</v>
      </c>
      <c r="G1181">
        <v>26.55</v>
      </c>
      <c r="H1181">
        <v>26.56</v>
      </c>
      <c r="I1181">
        <v>156</v>
      </c>
      <c r="J1181">
        <v>4133.2299999999996</v>
      </c>
      <c r="K1181" s="13">
        <v>43994</v>
      </c>
      <c r="L1181">
        <v>9</v>
      </c>
      <c r="M1181" t="s">
        <v>1979</v>
      </c>
    </row>
    <row r="1182" spans="1:13" x14ac:dyDescent="0.35">
      <c r="A1182" t="s">
        <v>1980</v>
      </c>
      <c r="B1182" t="s">
        <v>18</v>
      </c>
      <c r="C1182">
        <v>21.71</v>
      </c>
      <c r="D1182">
        <v>21.78</v>
      </c>
      <c r="E1182">
        <v>21.57</v>
      </c>
      <c r="F1182">
        <v>21.62</v>
      </c>
      <c r="G1182">
        <v>21.74</v>
      </c>
      <c r="H1182">
        <v>21.71</v>
      </c>
      <c r="I1182">
        <v>11630</v>
      </c>
      <c r="J1182">
        <v>252342.36</v>
      </c>
      <c r="K1182" s="13">
        <v>43994</v>
      </c>
      <c r="L1182">
        <v>63</v>
      </c>
      <c r="M1182" t="s">
        <v>1981</v>
      </c>
    </row>
    <row r="1183" spans="1:13" x14ac:dyDescent="0.35">
      <c r="A1183" t="s">
        <v>1982</v>
      </c>
      <c r="B1183" t="s">
        <v>18</v>
      </c>
      <c r="C1183">
        <v>53.05</v>
      </c>
      <c r="D1183">
        <v>55.89</v>
      </c>
      <c r="E1183">
        <v>52.61</v>
      </c>
      <c r="F1183">
        <v>55.28</v>
      </c>
      <c r="G1183">
        <v>55.6</v>
      </c>
      <c r="H1183">
        <v>54.01</v>
      </c>
      <c r="I1183">
        <v>23015</v>
      </c>
      <c r="J1183">
        <v>1237903.06</v>
      </c>
      <c r="K1183" s="13">
        <v>43994</v>
      </c>
      <c r="L1183">
        <v>177</v>
      </c>
      <c r="M1183" t="s">
        <v>1983</v>
      </c>
    </row>
    <row r="1184" spans="1:13" x14ac:dyDescent="0.35">
      <c r="A1184" t="s">
        <v>1984</v>
      </c>
      <c r="B1184" t="s">
        <v>18</v>
      </c>
      <c r="C1184">
        <v>109</v>
      </c>
      <c r="D1184">
        <v>117.9</v>
      </c>
      <c r="E1184">
        <v>105.63</v>
      </c>
      <c r="F1184">
        <v>112.05</v>
      </c>
      <c r="G1184">
        <v>117.9</v>
      </c>
      <c r="H1184">
        <v>108.77</v>
      </c>
      <c r="I1184">
        <v>937</v>
      </c>
      <c r="J1184">
        <v>103639.2</v>
      </c>
      <c r="K1184" s="13">
        <v>43994</v>
      </c>
      <c r="L1184">
        <v>87</v>
      </c>
      <c r="M1184" t="s">
        <v>1985</v>
      </c>
    </row>
    <row r="1185" spans="1:13" x14ac:dyDescent="0.35">
      <c r="A1185" t="s">
        <v>1986</v>
      </c>
      <c r="B1185" t="s">
        <v>18</v>
      </c>
      <c r="C1185">
        <v>53.5</v>
      </c>
      <c r="D1185">
        <v>53.99</v>
      </c>
      <c r="E1185">
        <v>50.11</v>
      </c>
      <c r="F1185">
        <v>52.63</v>
      </c>
      <c r="G1185">
        <v>52.64</v>
      </c>
      <c r="H1185">
        <v>53.17</v>
      </c>
      <c r="I1185">
        <v>1634</v>
      </c>
      <c r="J1185">
        <v>85310.77</v>
      </c>
      <c r="K1185" s="13">
        <v>43994</v>
      </c>
      <c r="L1185">
        <v>42</v>
      </c>
      <c r="M1185" t="s">
        <v>1987</v>
      </c>
    </row>
    <row r="1186" spans="1:13" x14ac:dyDescent="0.35">
      <c r="A1186" t="s">
        <v>1988</v>
      </c>
      <c r="B1186" t="s">
        <v>18</v>
      </c>
      <c r="C1186">
        <v>31.35</v>
      </c>
      <c r="D1186">
        <v>34.65</v>
      </c>
      <c r="E1186">
        <v>31.35</v>
      </c>
      <c r="F1186">
        <v>34.65</v>
      </c>
      <c r="G1186">
        <v>34.65</v>
      </c>
      <c r="H1186">
        <v>33</v>
      </c>
      <c r="I1186">
        <v>4717890</v>
      </c>
      <c r="J1186">
        <v>158294870.94999999</v>
      </c>
      <c r="K1186" s="13">
        <v>43994</v>
      </c>
      <c r="L1186">
        <v>6857</v>
      </c>
      <c r="M1186" t="s">
        <v>1989</v>
      </c>
    </row>
    <row r="1187" spans="1:13" x14ac:dyDescent="0.35">
      <c r="A1187" t="s">
        <v>1990</v>
      </c>
      <c r="B1187" t="s">
        <v>18</v>
      </c>
      <c r="C1187">
        <v>390.5</v>
      </c>
      <c r="D1187">
        <v>409.8</v>
      </c>
      <c r="E1187">
        <v>387.75</v>
      </c>
      <c r="F1187">
        <v>403.5</v>
      </c>
      <c r="G1187">
        <v>405</v>
      </c>
      <c r="H1187">
        <v>404.2</v>
      </c>
      <c r="I1187">
        <v>58217</v>
      </c>
      <c r="J1187">
        <v>23304979.600000001</v>
      </c>
      <c r="K1187" s="13">
        <v>43994</v>
      </c>
      <c r="L1187">
        <v>3965</v>
      </c>
      <c r="M1187" t="s">
        <v>1991</v>
      </c>
    </row>
    <row r="1188" spans="1:13" x14ac:dyDescent="0.35">
      <c r="A1188" t="s">
        <v>1992</v>
      </c>
      <c r="B1188" t="s">
        <v>18</v>
      </c>
      <c r="C1188">
        <v>137</v>
      </c>
      <c r="D1188">
        <v>149.5</v>
      </c>
      <c r="E1188">
        <v>136.94999999999999</v>
      </c>
      <c r="F1188">
        <v>145.85</v>
      </c>
      <c r="G1188">
        <v>146.94999999999999</v>
      </c>
      <c r="H1188">
        <v>146.5</v>
      </c>
      <c r="I1188">
        <v>24910</v>
      </c>
      <c r="J1188">
        <v>3592688.35</v>
      </c>
      <c r="K1188" s="13">
        <v>43994</v>
      </c>
      <c r="L1188">
        <v>740</v>
      </c>
      <c r="M1188" t="s">
        <v>1993</v>
      </c>
    </row>
    <row r="1189" spans="1:13" x14ac:dyDescent="0.35">
      <c r="A1189" t="s">
        <v>3775</v>
      </c>
      <c r="B1189" t="s">
        <v>3391</v>
      </c>
      <c r="C1189">
        <v>4.5999999999999996</v>
      </c>
      <c r="D1189">
        <v>4.5999999999999996</v>
      </c>
      <c r="E1189">
        <v>4.5999999999999996</v>
      </c>
      <c r="F1189">
        <v>4.5999999999999996</v>
      </c>
      <c r="G1189">
        <v>4.5999999999999996</v>
      </c>
      <c r="H1189">
        <v>4.4000000000000004</v>
      </c>
      <c r="I1189">
        <v>5277</v>
      </c>
      <c r="J1189">
        <v>24274.2</v>
      </c>
      <c r="K1189" s="13">
        <v>43994</v>
      </c>
      <c r="L1189">
        <v>7</v>
      </c>
      <c r="M1189" t="s">
        <v>3776</v>
      </c>
    </row>
    <row r="1190" spans="1:13" x14ac:dyDescent="0.35">
      <c r="A1190" t="s">
        <v>1994</v>
      </c>
      <c r="B1190" t="s">
        <v>18</v>
      </c>
      <c r="C1190">
        <v>28</v>
      </c>
      <c r="D1190">
        <v>28</v>
      </c>
      <c r="E1190">
        <v>26.75</v>
      </c>
      <c r="F1190">
        <v>27.65</v>
      </c>
      <c r="G1190">
        <v>27.55</v>
      </c>
      <c r="H1190">
        <v>28</v>
      </c>
      <c r="I1190">
        <v>2856903</v>
      </c>
      <c r="J1190">
        <v>78620364.200000003</v>
      </c>
      <c r="K1190" s="13">
        <v>43994</v>
      </c>
      <c r="L1190">
        <v>7632</v>
      </c>
      <c r="M1190" t="s">
        <v>1995</v>
      </c>
    </row>
    <row r="1191" spans="1:13" x14ac:dyDescent="0.35">
      <c r="A1191" t="s">
        <v>814</v>
      </c>
      <c r="B1191" t="s">
        <v>18</v>
      </c>
      <c r="C1191">
        <v>285</v>
      </c>
      <c r="D1191">
        <v>288</v>
      </c>
      <c r="E1191">
        <v>282.5</v>
      </c>
      <c r="F1191">
        <v>286.35000000000002</v>
      </c>
      <c r="G1191">
        <v>285.89999999999998</v>
      </c>
      <c r="H1191">
        <v>293.3</v>
      </c>
      <c r="I1191">
        <v>56881</v>
      </c>
      <c r="J1191">
        <v>16273327.35</v>
      </c>
      <c r="K1191" s="13">
        <v>43994</v>
      </c>
      <c r="L1191">
        <v>4829</v>
      </c>
      <c r="M1191" t="s">
        <v>1996</v>
      </c>
    </row>
    <row r="1192" spans="1:13" x14ac:dyDescent="0.35">
      <c r="A1192" t="s">
        <v>3777</v>
      </c>
      <c r="B1192" t="s">
        <v>3531</v>
      </c>
      <c r="C1192">
        <v>1178</v>
      </c>
      <c r="D1192">
        <v>1178</v>
      </c>
      <c r="E1192">
        <v>1114.4000000000001</v>
      </c>
      <c r="F1192">
        <v>1115.07</v>
      </c>
      <c r="G1192">
        <v>1115</v>
      </c>
      <c r="H1192">
        <v>1114.8499999999999</v>
      </c>
      <c r="I1192">
        <v>3003</v>
      </c>
      <c r="J1192">
        <v>3350525.31</v>
      </c>
      <c r="K1192" s="13">
        <v>43994</v>
      </c>
      <c r="L1192">
        <v>38</v>
      </c>
      <c r="M1192" t="s">
        <v>3778</v>
      </c>
    </row>
    <row r="1193" spans="1:13" x14ac:dyDescent="0.35">
      <c r="A1193" t="s">
        <v>3777</v>
      </c>
      <c r="B1193" t="s">
        <v>3430</v>
      </c>
      <c r="C1193">
        <v>1265</v>
      </c>
      <c r="D1193">
        <v>1270</v>
      </c>
      <c r="E1193">
        <v>1255</v>
      </c>
      <c r="F1193">
        <v>1269.6600000000001</v>
      </c>
      <c r="G1193">
        <v>1270</v>
      </c>
      <c r="H1193">
        <v>1262.94</v>
      </c>
      <c r="I1193">
        <v>4446</v>
      </c>
      <c r="J1193">
        <v>5628511.9000000004</v>
      </c>
      <c r="K1193" s="13">
        <v>43994</v>
      </c>
      <c r="L1193">
        <v>62</v>
      </c>
      <c r="M1193" t="s">
        <v>3779</v>
      </c>
    </row>
    <row r="1194" spans="1:13" x14ac:dyDescent="0.35">
      <c r="A1194" t="s">
        <v>3777</v>
      </c>
      <c r="B1194" t="s">
        <v>3512</v>
      </c>
      <c r="C1194">
        <v>1216</v>
      </c>
      <c r="D1194">
        <v>1216</v>
      </c>
      <c r="E1194">
        <v>1216</v>
      </c>
      <c r="F1194">
        <v>1216</v>
      </c>
      <c r="G1194">
        <v>1216</v>
      </c>
      <c r="H1194">
        <v>1216</v>
      </c>
      <c r="I1194">
        <v>100</v>
      </c>
      <c r="J1194">
        <v>121600</v>
      </c>
      <c r="K1194" s="13">
        <v>43994</v>
      </c>
      <c r="L1194">
        <v>1</v>
      </c>
      <c r="M1194" t="s">
        <v>3780</v>
      </c>
    </row>
    <row r="1195" spans="1:13" x14ac:dyDescent="0.35">
      <c r="A1195" t="s">
        <v>3777</v>
      </c>
      <c r="B1195" t="s">
        <v>3452</v>
      </c>
      <c r="C1195">
        <v>1305.55</v>
      </c>
      <c r="D1195">
        <v>1340</v>
      </c>
      <c r="E1195">
        <v>1305.21</v>
      </c>
      <c r="F1195">
        <v>1336.81</v>
      </c>
      <c r="G1195">
        <v>1340</v>
      </c>
      <c r="H1195">
        <v>1314</v>
      </c>
      <c r="I1195">
        <v>3112</v>
      </c>
      <c r="J1195">
        <v>4108393.82</v>
      </c>
      <c r="K1195" s="13">
        <v>43994</v>
      </c>
      <c r="L1195">
        <v>49</v>
      </c>
      <c r="M1195" t="s">
        <v>3781</v>
      </c>
    </row>
    <row r="1196" spans="1:13" x14ac:dyDescent="0.35">
      <c r="A1196" t="s">
        <v>3777</v>
      </c>
      <c r="B1196" t="s">
        <v>3573</v>
      </c>
      <c r="C1196">
        <v>1131.1400000000001</v>
      </c>
      <c r="D1196">
        <v>1131.1400000000001</v>
      </c>
      <c r="E1196">
        <v>1131.1400000000001</v>
      </c>
      <c r="F1196">
        <v>1131.1400000000001</v>
      </c>
      <c r="G1196">
        <v>1131.1400000000001</v>
      </c>
      <c r="H1196">
        <v>1200</v>
      </c>
      <c r="I1196">
        <v>100</v>
      </c>
      <c r="J1196">
        <v>113114</v>
      </c>
      <c r="K1196" s="13">
        <v>43994</v>
      </c>
      <c r="L1196">
        <v>1</v>
      </c>
      <c r="M1196" t="s">
        <v>3782</v>
      </c>
    </row>
    <row r="1197" spans="1:13" x14ac:dyDescent="0.35">
      <c r="A1197" t="s">
        <v>3777</v>
      </c>
      <c r="B1197" t="s">
        <v>3583</v>
      </c>
      <c r="C1197">
        <v>1225</v>
      </c>
      <c r="D1197">
        <v>1240</v>
      </c>
      <c r="E1197">
        <v>1224</v>
      </c>
      <c r="F1197">
        <v>1239.1500000000001</v>
      </c>
      <c r="G1197">
        <v>1239.8499999999999</v>
      </c>
      <c r="H1197">
        <v>1226.03</v>
      </c>
      <c r="I1197">
        <v>4817</v>
      </c>
      <c r="J1197">
        <v>5917535.1500000004</v>
      </c>
      <c r="K1197" s="13">
        <v>43994</v>
      </c>
      <c r="L1197">
        <v>46</v>
      </c>
      <c r="M1197" t="s">
        <v>3783</v>
      </c>
    </row>
    <row r="1198" spans="1:13" x14ac:dyDescent="0.35">
      <c r="A1198" t="s">
        <v>3777</v>
      </c>
      <c r="B1198" t="s">
        <v>3481</v>
      </c>
      <c r="C1198">
        <v>1271.99</v>
      </c>
      <c r="D1198">
        <v>1275</v>
      </c>
      <c r="E1198">
        <v>1271.99</v>
      </c>
      <c r="F1198">
        <v>1274.74</v>
      </c>
      <c r="G1198">
        <v>1274.99</v>
      </c>
      <c r="H1198">
        <v>1270</v>
      </c>
      <c r="I1198">
        <v>904</v>
      </c>
      <c r="J1198">
        <v>1150186</v>
      </c>
      <c r="K1198" s="13">
        <v>43994</v>
      </c>
      <c r="L1198">
        <v>10</v>
      </c>
      <c r="M1198" t="s">
        <v>3784</v>
      </c>
    </row>
    <row r="1199" spans="1:13" x14ac:dyDescent="0.35">
      <c r="A1199" t="s">
        <v>3785</v>
      </c>
      <c r="B1199" t="s">
        <v>3452</v>
      </c>
      <c r="C1199">
        <v>7175</v>
      </c>
      <c r="D1199">
        <v>7290</v>
      </c>
      <c r="E1199">
        <v>7165.25</v>
      </c>
      <c r="F1199">
        <v>7285.91</v>
      </c>
      <c r="G1199">
        <v>7290</v>
      </c>
      <c r="H1199">
        <v>7187.46</v>
      </c>
      <c r="I1199">
        <v>224</v>
      </c>
      <c r="J1199">
        <v>1620789.9</v>
      </c>
      <c r="K1199" s="13">
        <v>43994</v>
      </c>
      <c r="L1199">
        <v>19</v>
      </c>
      <c r="M1199" t="s">
        <v>3786</v>
      </c>
    </row>
    <row r="1200" spans="1:13" x14ac:dyDescent="0.35">
      <c r="A1200" t="s">
        <v>3787</v>
      </c>
      <c r="B1200" t="s">
        <v>3452</v>
      </c>
      <c r="C1200">
        <v>6560</v>
      </c>
      <c r="D1200">
        <v>6560</v>
      </c>
      <c r="E1200">
        <v>6560</v>
      </c>
      <c r="F1200">
        <v>6560</v>
      </c>
      <c r="G1200">
        <v>6560</v>
      </c>
      <c r="H1200">
        <v>6775</v>
      </c>
      <c r="I1200">
        <v>10</v>
      </c>
      <c r="J1200">
        <v>65600</v>
      </c>
      <c r="K1200" s="13">
        <v>43994</v>
      </c>
      <c r="L1200">
        <v>1</v>
      </c>
      <c r="M1200" t="s">
        <v>3788</v>
      </c>
    </row>
    <row r="1201" spans="1:13" x14ac:dyDescent="0.35">
      <c r="A1201" t="s">
        <v>1997</v>
      </c>
      <c r="B1201" t="s">
        <v>18</v>
      </c>
      <c r="C1201">
        <v>19.5</v>
      </c>
      <c r="D1201">
        <v>19.95</v>
      </c>
      <c r="E1201">
        <v>19.399999999999999</v>
      </c>
      <c r="F1201">
        <v>19.850000000000001</v>
      </c>
      <c r="G1201">
        <v>19.850000000000001</v>
      </c>
      <c r="H1201">
        <v>19.95</v>
      </c>
      <c r="I1201">
        <v>2929614</v>
      </c>
      <c r="J1201">
        <v>57854634.549999997</v>
      </c>
      <c r="K1201" s="13">
        <v>43994</v>
      </c>
      <c r="L1201">
        <v>4545</v>
      </c>
      <c r="M1201" t="s">
        <v>1998</v>
      </c>
    </row>
    <row r="1202" spans="1:13" x14ac:dyDescent="0.35">
      <c r="A1202" t="s">
        <v>1997</v>
      </c>
      <c r="B1202" t="s">
        <v>3514</v>
      </c>
      <c r="C1202">
        <v>1290</v>
      </c>
      <c r="D1202">
        <v>1290</v>
      </c>
      <c r="E1202">
        <v>1290</v>
      </c>
      <c r="F1202">
        <v>1290</v>
      </c>
      <c r="G1202">
        <v>1290</v>
      </c>
      <c r="H1202">
        <v>1270</v>
      </c>
      <c r="I1202">
        <v>40</v>
      </c>
      <c r="J1202">
        <v>51600</v>
      </c>
      <c r="K1202" s="13">
        <v>43994</v>
      </c>
      <c r="L1202">
        <v>1</v>
      </c>
      <c r="M1202" t="s">
        <v>3789</v>
      </c>
    </row>
    <row r="1203" spans="1:13" x14ac:dyDescent="0.35">
      <c r="A1203" t="s">
        <v>1999</v>
      </c>
      <c r="B1203" t="s">
        <v>18</v>
      </c>
      <c r="C1203">
        <v>117.1</v>
      </c>
      <c r="D1203">
        <v>123.15</v>
      </c>
      <c r="E1203">
        <v>117.1</v>
      </c>
      <c r="F1203">
        <v>122.45</v>
      </c>
      <c r="G1203">
        <v>122.85</v>
      </c>
      <c r="H1203">
        <v>122</v>
      </c>
      <c r="I1203">
        <v>164341</v>
      </c>
      <c r="J1203">
        <v>19887256.199999999</v>
      </c>
      <c r="K1203" s="13">
        <v>43994</v>
      </c>
      <c r="L1203">
        <v>4681</v>
      </c>
      <c r="M1203" t="s">
        <v>2000</v>
      </c>
    </row>
    <row r="1204" spans="1:13" x14ac:dyDescent="0.35">
      <c r="A1204" t="s">
        <v>2001</v>
      </c>
      <c r="B1204" t="s">
        <v>18</v>
      </c>
      <c r="C1204">
        <v>6</v>
      </c>
      <c r="D1204">
        <v>6</v>
      </c>
      <c r="E1204">
        <v>5.7</v>
      </c>
      <c r="F1204">
        <v>5.7</v>
      </c>
      <c r="G1204">
        <v>5.7</v>
      </c>
      <c r="H1204">
        <v>6</v>
      </c>
      <c r="I1204">
        <v>3801</v>
      </c>
      <c r="J1204">
        <v>21956.25</v>
      </c>
      <c r="K1204" s="13">
        <v>43994</v>
      </c>
      <c r="L1204">
        <v>16</v>
      </c>
      <c r="M1204" t="s">
        <v>2002</v>
      </c>
    </row>
    <row r="1205" spans="1:13" x14ac:dyDescent="0.35">
      <c r="A1205" t="s">
        <v>53</v>
      </c>
      <c r="B1205" t="s">
        <v>18</v>
      </c>
      <c r="C1205">
        <v>103.87</v>
      </c>
      <c r="D1205">
        <v>105.91</v>
      </c>
      <c r="E1205">
        <v>102.2</v>
      </c>
      <c r="F1205">
        <v>105.72</v>
      </c>
      <c r="G1205">
        <v>105.64</v>
      </c>
      <c r="H1205">
        <v>105.3</v>
      </c>
      <c r="I1205">
        <v>4921933</v>
      </c>
      <c r="J1205">
        <v>510128666.69999999</v>
      </c>
      <c r="K1205" s="13">
        <v>43994</v>
      </c>
      <c r="L1205">
        <v>17679</v>
      </c>
      <c r="M1205" t="s">
        <v>2003</v>
      </c>
    </row>
    <row r="1206" spans="1:13" x14ac:dyDescent="0.35">
      <c r="A1206" t="s">
        <v>2004</v>
      </c>
      <c r="B1206" t="s">
        <v>18</v>
      </c>
      <c r="C1206">
        <v>13000</v>
      </c>
      <c r="D1206">
        <v>13000</v>
      </c>
      <c r="E1206">
        <v>13000</v>
      </c>
      <c r="F1206">
        <v>13000</v>
      </c>
      <c r="G1206">
        <v>13000</v>
      </c>
      <c r="H1206">
        <v>13000</v>
      </c>
      <c r="I1206">
        <v>2</v>
      </c>
      <c r="J1206">
        <v>26000</v>
      </c>
      <c r="K1206" s="13">
        <v>43994</v>
      </c>
      <c r="L1206">
        <v>2</v>
      </c>
      <c r="M1206" t="s">
        <v>2005</v>
      </c>
    </row>
    <row r="1207" spans="1:13" x14ac:dyDescent="0.35">
      <c r="A1207" t="s">
        <v>2006</v>
      </c>
      <c r="B1207" t="s">
        <v>18</v>
      </c>
      <c r="C1207">
        <v>88</v>
      </c>
      <c r="D1207">
        <v>91.2</v>
      </c>
      <c r="E1207">
        <v>88</v>
      </c>
      <c r="F1207">
        <v>90.55</v>
      </c>
      <c r="G1207">
        <v>90.7</v>
      </c>
      <c r="H1207">
        <v>90.7</v>
      </c>
      <c r="I1207">
        <v>504697</v>
      </c>
      <c r="J1207">
        <v>45518910.450000003</v>
      </c>
      <c r="K1207" s="13">
        <v>43994</v>
      </c>
      <c r="L1207">
        <v>4290</v>
      </c>
      <c r="M1207" t="s">
        <v>2007</v>
      </c>
    </row>
    <row r="1208" spans="1:13" x14ac:dyDescent="0.35">
      <c r="A1208" t="s">
        <v>2008</v>
      </c>
      <c r="B1208" t="s">
        <v>18</v>
      </c>
      <c r="C1208">
        <v>1302</v>
      </c>
      <c r="D1208">
        <v>1354</v>
      </c>
      <c r="E1208">
        <v>1302</v>
      </c>
      <c r="F1208">
        <v>1343.15</v>
      </c>
      <c r="G1208">
        <v>1339.25</v>
      </c>
      <c r="H1208">
        <v>1366.3</v>
      </c>
      <c r="I1208">
        <v>302615</v>
      </c>
      <c r="J1208">
        <v>402795428.35000002</v>
      </c>
      <c r="K1208" s="13">
        <v>43994</v>
      </c>
      <c r="L1208">
        <v>18060</v>
      </c>
      <c r="M1208" t="s">
        <v>2009</v>
      </c>
    </row>
    <row r="1209" spans="1:13" x14ac:dyDescent="0.35">
      <c r="A1209" t="s">
        <v>2010</v>
      </c>
      <c r="B1209" t="s">
        <v>18</v>
      </c>
      <c r="C1209">
        <v>5.25</v>
      </c>
      <c r="D1209">
        <v>5.5</v>
      </c>
      <c r="E1209">
        <v>4.95</v>
      </c>
      <c r="F1209">
        <v>5.35</v>
      </c>
      <c r="G1209">
        <v>5.3</v>
      </c>
      <c r="H1209">
        <v>5.45</v>
      </c>
      <c r="I1209">
        <v>1509059</v>
      </c>
      <c r="J1209">
        <v>7804960.6500000004</v>
      </c>
      <c r="K1209" s="13">
        <v>43994</v>
      </c>
      <c r="L1209">
        <v>2067</v>
      </c>
      <c r="M1209" t="s">
        <v>2011</v>
      </c>
    </row>
    <row r="1210" spans="1:13" x14ac:dyDescent="0.35">
      <c r="A1210" t="s">
        <v>2012</v>
      </c>
      <c r="B1210" t="s">
        <v>18</v>
      </c>
      <c r="C1210">
        <v>1.1000000000000001</v>
      </c>
      <c r="D1210">
        <v>1.1000000000000001</v>
      </c>
      <c r="E1210">
        <v>1</v>
      </c>
      <c r="F1210">
        <v>1.1000000000000001</v>
      </c>
      <c r="G1210">
        <v>1.1000000000000001</v>
      </c>
      <c r="H1210">
        <v>1.05</v>
      </c>
      <c r="I1210">
        <v>425363</v>
      </c>
      <c r="J1210">
        <v>459010.6</v>
      </c>
      <c r="K1210" s="13">
        <v>43994</v>
      </c>
      <c r="L1210">
        <v>184</v>
      </c>
      <c r="M1210" t="s">
        <v>2013</v>
      </c>
    </row>
    <row r="1211" spans="1:13" x14ac:dyDescent="0.35">
      <c r="A1211" t="s">
        <v>2014</v>
      </c>
      <c r="B1211" t="s">
        <v>18</v>
      </c>
      <c r="C1211">
        <v>1050</v>
      </c>
      <c r="D1211">
        <v>1084.7</v>
      </c>
      <c r="E1211">
        <v>1040</v>
      </c>
      <c r="F1211">
        <v>1070.3499999999999</v>
      </c>
      <c r="G1211">
        <v>1070</v>
      </c>
      <c r="H1211">
        <v>1070.2</v>
      </c>
      <c r="I1211">
        <v>9621</v>
      </c>
      <c r="J1211">
        <v>10249623.75</v>
      </c>
      <c r="K1211" s="13">
        <v>43994</v>
      </c>
      <c r="L1211">
        <v>1695</v>
      </c>
      <c r="M1211" t="s">
        <v>2015</v>
      </c>
    </row>
    <row r="1212" spans="1:13" x14ac:dyDescent="0.35">
      <c r="A1212" t="s">
        <v>2016</v>
      </c>
      <c r="B1212" t="s">
        <v>18</v>
      </c>
      <c r="C1212">
        <v>479.9</v>
      </c>
      <c r="D1212">
        <v>494</v>
      </c>
      <c r="E1212">
        <v>470</v>
      </c>
      <c r="F1212">
        <v>491.6</v>
      </c>
      <c r="G1212">
        <v>493</v>
      </c>
      <c r="H1212">
        <v>482.8</v>
      </c>
      <c r="I1212">
        <v>1387</v>
      </c>
      <c r="J1212">
        <v>675185.55</v>
      </c>
      <c r="K1212" s="13">
        <v>43994</v>
      </c>
      <c r="L1212">
        <v>186</v>
      </c>
      <c r="M1212" t="s">
        <v>2017</v>
      </c>
    </row>
    <row r="1213" spans="1:13" x14ac:dyDescent="0.35">
      <c r="A1213" t="s">
        <v>2018</v>
      </c>
      <c r="B1213" t="s">
        <v>18</v>
      </c>
      <c r="C1213">
        <v>16.600000000000001</v>
      </c>
      <c r="D1213">
        <v>17.75</v>
      </c>
      <c r="E1213">
        <v>16.399999999999999</v>
      </c>
      <c r="F1213">
        <v>17.55</v>
      </c>
      <c r="G1213">
        <v>17.45</v>
      </c>
      <c r="H1213">
        <v>17.25</v>
      </c>
      <c r="I1213">
        <v>37464</v>
      </c>
      <c r="J1213">
        <v>639699.69999999995</v>
      </c>
      <c r="K1213" s="13">
        <v>43994</v>
      </c>
      <c r="L1213">
        <v>316</v>
      </c>
      <c r="M1213" t="s">
        <v>2019</v>
      </c>
    </row>
    <row r="1214" spans="1:13" x14ac:dyDescent="0.35">
      <c r="A1214" t="s">
        <v>3790</v>
      </c>
      <c r="B1214" t="s">
        <v>3414</v>
      </c>
      <c r="C1214">
        <v>0.45</v>
      </c>
      <c r="D1214">
        <v>0.5</v>
      </c>
      <c r="E1214">
        <v>0.45</v>
      </c>
      <c r="F1214">
        <v>0.5</v>
      </c>
      <c r="G1214">
        <v>0.5</v>
      </c>
      <c r="H1214">
        <v>0.45</v>
      </c>
      <c r="I1214">
        <v>218596</v>
      </c>
      <c r="J1214">
        <v>106675.3</v>
      </c>
      <c r="K1214" s="13">
        <v>43994</v>
      </c>
      <c r="L1214">
        <v>60</v>
      </c>
      <c r="M1214" t="s">
        <v>3791</v>
      </c>
    </row>
    <row r="1215" spans="1:13" x14ac:dyDescent="0.35">
      <c r="A1215" t="s">
        <v>2020</v>
      </c>
      <c r="B1215" t="s">
        <v>18</v>
      </c>
      <c r="C1215">
        <v>35.6</v>
      </c>
      <c r="D1215">
        <v>36.200000000000003</v>
      </c>
      <c r="E1215">
        <v>34.5</v>
      </c>
      <c r="F1215">
        <v>35.85</v>
      </c>
      <c r="G1215">
        <v>35.700000000000003</v>
      </c>
      <c r="H1215">
        <v>36.5</v>
      </c>
      <c r="I1215">
        <v>33690</v>
      </c>
      <c r="J1215">
        <v>1199269.05</v>
      </c>
      <c r="K1215" s="13">
        <v>43994</v>
      </c>
      <c r="L1215">
        <v>312</v>
      </c>
      <c r="M1215" t="s">
        <v>2021</v>
      </c>
    </row>
    <row r="1216" spans="1:13" x14ac:dyDescent="0.35">
      <c r="A1216" t="s">
        <v>3792</v>
      </c>
      <c r="B1216" t="s">
        <v>3391</v>
      </c>
      <c r="C1216">
        <v>26.45</v>
      </c>
      <c r="D1216">
        <v>26.45</v>
      </c>
      <c r="E1216">
        <v>23.95</v>
      </c>
      <c r="F1216">
        <v>24</v>
      </c>
      <c r="G1216">
        <v>24</v>
      </c>
      <c r="H1216">
        <v>25.2</v>
      </c>
      <c r="I1216">
        <v>2628</v>
      </c>
      <c r="J1216">
        <v>63155.8</v>
      </c>
      <c r="K1216" s="13">
        <v>43994</v>
      </c>
      <c r="L1216">
        <v>22</v>
      </c>
      <c r="M1216" t="s">
        <v>3793</v>
      </c>
    </row>
    <row r="1217" spans="1:13" x14ac:dyDescent="0.35">
      <c r="A1217" t="s">
        <v>2022</v>
      </c>
      <c r="B1217" t="s">
        <v>18</v>
      </c>
      <c r="C1217">
        <v>42.8</v>
      </c>
      <c r="D1217">
        <v>44</v>
      </c>
      <c r="E1217">
        <v>42</v>
      </c>
      <c r="F1217">
        <v>43.85</v>
      </c>
      <c r="G1217">
        <v>43.95</v>
      </c>
      <c r="H1217">
        <v>43.9</v>
      </c>
      <c r="I1217">
        <v>463767</v>
      </c>
      <c r="J1217">
        <v>20083691.5</v>
      </c>
      <c r="K1217" s="13">
        <v>43994</v>
      </c>
      <c r="L1217">
        <v>4244</v>
      </c>
      <c r="M1217" t="s">
        <v>2023</v>
      </c>
    </row>
    <row r="1218" spans="1:13" x14ac:dyDescent="0.35">
      <c r="A1218" t="s">
        <v>2024</v>
      </c>
      <c r="B1218" t="s">
        <v>18</v>
      </c>
      <c r="C1218">
        <v>83.3</v>
      </c>
      <c r="D1218">
        <v>88.2</v>
      </c>
      <c r="E1218">
        <v>81.349999999999994</v>
      </c>
      <c r="F1218">
        <v>87.45</v>
      </c>
      <c r="G1218">
        <v>87.7</v>
      </c>
      <c r="H1218">
        <v>87.2</v>
      </c>
      <c r="I1218">
        <v>5871856</v>
      </c>
      <c r="J1218">
        <v>500769990.19999999</v>
      </c>
      <c r="K1218" s="13">
        <v>43994</v>
      </c>
      <c r="L1218">
        <v>31055</v>
      </c>
      <c r="M1218" t="s">
        <v>2025</v>
      </c>
    </row>
    <row r="1219" spans="1:13" x14ac:dyDescent="0.35">
      <c r="A1219" t="s">
        <v>2026</v>
      </c>
      <c r="B1219" t="s">
        <v>18</v>
      </c>
      <c r="C1219">
        <v>88</v>
      </c>
      <c r="D1219">
        <v>90.7</v>
      </c>
      <c r="E1219">
        <v>87</v>
      </c>
      <c r="F1219">
        <v>90.2</v>
      </c>
      <c r="G1219">
        <v>90.2</v>
      </c>
      <c r="H1219">
        <v>91.6</v>
      </c>
      <c r="I1219">
        <v>2165483</v>
      </c>
      <c r="J1219">
        <v>193013799.40000001</v>
      </c>
      <c r="K1219" s="13">
        <v>43994</v>
      </c>
      <c r="L1219">
        <v>15390</v>
      </c>
      <c r="M1219" t="s">
        <v>2027</v>
      </c>
    </row>
    <row r="1220" spans="1:13" x14ac:dyDescent="0.35">
      <c r="A1220" t="s">
        <v>2028</v>
      </c>
      <c r="B1220" t="s">
        <v>18</v>
      </c>
      <c r="C1220">
        <v>3.9</v>
      </c>
      <c r="D1220">
        <v>4.05</v>
      </c>
      <c r="E1220">
        <v>3.9</v>
      </c>
      <c r="F1220">
        <v>3.95</v>
      </c>
      <c r="G1220">
        <v>3.9</v>
      </c>
      <c r="H1220">
        <v>4.0999999999999996</v>
      </c>
      <c r="I1220">
        <v>91576</v>
      </c>
      <c r="J1220">
        <v>359260.55</v>
      </c>
      <c r="K1220" s="13">
        <v>43994</v>
      </c>
      <c r="L1220">
        <v>116</v>
      </c>
      <c r="M1220" t="s">
        <v>2029</v>
      </c>
    </row>
    <row r="1221" spans="1:13" x14ac:dyDescent="0.35">
      <c r="A1221" t="s">
        <v>3794</v>
      </c>
      <c r="B1221" t="s">
        <v>18</v>
      </c>
      <c r="C1221">
        <v>3.5</v>
      </c>
      <c r="D1221">
        <v>3.5</v>
      </c>
      <c r="E1221">
        <v>3.5</v>
      </c>
      <c r="F1221">
        <v>3.5</v>
      </c>
      <c r="G1221">
        <v>3.5</v>
      </c>
      <c r="H1221">
        <v>3.5</v>
      </c>
      <c r="I1221">
        <v>300</v>
      </c>
      <c r="J1221">
        <v>1050</v>
      </c>
      <c r="K1221" s="13">
        <v>43994</v>
      </c>
      <c r="L1221">
        <v>2</v>
      </c>
      <c r="M1221" t="s">
        <v>3795</v>
      </c>
    </row>
    <row r="1222" spans="1:13" x14ac:dyDescent="0.35">
      <c r="A1222" t="s">
        <v>2030</v>
      </c>
      <c r="B1222" t="s">
        <v>18</v>
      </c>
      <c r="C1222">
        <v>111</v>
      </c>
      <c r="D1222">
        <v>112</v>
      </c>
      <c r="E1222">
        <v>108</v>
      </c>
      <c r="F1222">
        <v>112</v>
      </c>
      <c r="G1222">
        <v>112</v>
      </c>
      <c r="H1222">
        <v>110</v>
      </c>
      <c r="I1222">
        <v>74</v>
      </c>
      <c r="J1222">
        <v>8186.2</v>
      </c>
      <c r="K1222" s="13">
        <v>43994</v>
      </c>
      <c r="L1222">
        <v>11</v>
      </c>
      <c r="M1222" t="s">
        <v>2031</v>
      </c>
    </row>
    <row r="1223" spans="1:13" x14ac:dyDescent="0.35">
      <c r="A1223" t="s">
        <v>2032</v>
      </c>
      <c r="B1223" t="s">
        <v>18</v>
      </c>
      <c r="C1223">
        <v>209.65</v>
      </c>
      <c r="D1223">
        <v>212.65</v>
      </c>
      <c r="E1223">
        <v>194.45</v>
      </c>
      <c r="F1223">
        <v>209.1</v>
      </c>
      <c r="G1223">
        <v>210</v>
      </c>
      <c r="H1223">
        <v>212.95</v>
      </c>
      <c r="I1223">
        <v>23074</v>
      </c>
      <c r="J1223">
        <v>4713434.9000000004</v>
      </c>
      <c r="K1223" s="13">
        <v>43994</v>
      </c>
      <c r="L1223">
        <v>993</v>
      </c>
      <c r="M1223" t="s">
        <v>2033</v>
      </c>
    </row>
    <row r="1224" spans="1:13" x14ac:dyDescent="0.35">
      <c r="A1224" t="s">
        <v>2034</v>
      </c>
      <c r="B1224" t="s">
        <v>18</v>
      </c>
      <c r="C1224">
        <v>66</v>
      </c>
      <c r="D1224">
        <v>69.099999999999994</v>
      </c>
      <c r="E1224">
        <v>65.400000000000006</v>
      </c>
      <c r="F1224">
        <v>68.75</v>
      </c>
      <c r="G1224">
        <v>68.650000000000006</v>
      </c>
      <c r="H1224">
        <v>69.400000000000006</v>
      </c>
      <c r="I1224">
        <v>119260</v>
      </c>
      <c r="J1224">
        <v>8068052.0499999998</v>
      </c>
      <c r="K1224" s="13">
        <v>43994</v>
      </c>
      <c r="L1224">
        <v>2522</v>
      </c>
      <c r="M1224" t="s">
        <v>2035</v>
      </c>
    </row>
    <row r="1225" spans="1:13" x14ac:dyDescent="0.35">
      <c r="A1225" t="s">
        <v>2036</v>
      </c>
      <c r="B1225" t="s">
        <v>18</v>
      </c>
      <c r="C1225">
        <v>649.1</v>
      </c>
      <c r="D1225">
        <v>649.1</v>
      </c>
      <c r="E1225">
        <v>620.95000000000005</v>
      </c>
      <c r="F1225">
        <v>642</v>
      </c>
      <c r="G1225">
        <v>642</v>
      </c>
      <c r="H1225">
        <v>649.1</v>
      </c>
      <c r="I1225">
        <v>340</v>
      </c>
      <c r="J1225">
        <v>216065.15</v>
      </c>
      <c r="K1225" s="13">
        <v>43994</v>
      </c>
      <c r="L1225">
        <v>314</v>
      </c>
      <c r="M1225" t="s">
        <v>2037</v>
      </c>
    </row>
    <row r="1226" spans="1:13" x14ac:dyDescent="0.35">
      <c r="A1226" t="s">
        <v>2038</v>
      </c>
      <c r="B1226" t="s">
        <v>18</v>
      </c>
      <c r="C1226">
        <v>94.5</v>
      </c>
      <c r="D1226">
        <v>97.95</v>
      </c>
      <c r="E1226">
        <v>94.3</v>
      </c>
      <c r="F1226">
        <v>96.9</v>
      </c>
      <c r="G1226">
        <v>96.7</v>
      </c>
      <c r="H1226">
        <v>98.05</v>
      </c>
      <c r="I1226">
        <v>10925628</v>
      </c>
      <c r="J1226">
        <v>1051950761.9</v>
      </c>
      <c r="K1226" s="13">
        <v>43994</v>
      </c>
      <c r="L1226">
        <v>42744</v>
      </c>
      <c r="M1226" t="s">
        <v>2039</v>
      </c>
    </row>
    <row r="1227" spans="1:13" x14ac:dyDescent="0.35">
      <c r="A1227" t="s">
        <v>2038</v>
      </c>
      <c r="B1227" t="s">
        <v>3531</v>
      </c>
      <c r="C1227">
        <v>1279</v>
      </c>
      <c r="D1227">
        <v>1279</v>
      </c>
      <c r="E1227">
        <v>1205</v>
      </c>
      <c r="F1227">
        <v>1205</v>
      </c>
      <c r="G1227">
        <v>1205</v>
      </c>
      <c r="H1227">
        <v>1205</v>
      </c>
      <c r="I1227">
        <v>34</v>
      </c>
      <c r="J1227">
        <v>41044</v>
      </c>
      <c r="K1227" s="13">
        <v>43994</v>
      </c>
      <c r="L1227">
        <v>2</v>
      </c>
      <c r="M1227" t="s">
        <v>3796</v>
      </c>
    </row>
    <row r="1228" spans="1:13" x14ac:dyDescent="0.35">
      <c r="A1228" t="s">
        <v>2038</v>
      </c>
      <c r="B1228" t="s">
        <v>3512</v>
      </c>
      <c r="C1228">
        <v>1389</v>
      </c>
      <c r="D1228">
        <v>1389</v>
      </c>
      <c r="E1228">
        <v>1219</v>
      </c>
      <c r="F1228">
        <v>1219</v>
      </c>
      <c r="G1228">
        <v>1219</v>
      </c>
      <c r="H1228">
        <v>1215</v>
      </c>
      <c r="I1228">
        <v>41</v>
      </c>
      <c r="J1228">
        <v>51804.79</v>
      </c>
      <c r="K1228" s="13">
        <v>43994</v>
      </c>
      <c r="L1228">
        <v>4</v>
      </c>
      <c r="M1228" t="s">
        <v>3797</v>
      </c>
    </row>
    <row r="1229" spans="1:13" x14ac:dyDescent="0.35">
      <c r="A1229" t="s">
        <v>2038</v>
      </c>
      <c r="B1229" t="s">
        <v>3452</v>
      </c>
      <c r="C1229">
        <v>1417.51</v>
      </c>
      <c r="D1229">
        <v>1436</v>
      </c>
      <c r="E1229">
        <v>1417.51</v>
      </c>
      <c r="F1229">
        <v>1434.45</v>
      </c>
      <c r="G1229">
        <v>1428</v>
      </c>
      <c r="H1229">
        <v>1418.1</v>
      </c>
      <c r="I1229">
        <v>2657</v>
      </c>
      <c r="J1229">
        <v>3792550.11</v>
      </c>
      <c r="K1229" s="13">
        <v>43994</v>
      </c>
      <c r="L1229">
        <v>44</v>
      </c>
      <c r="M1229" t="s">
        <v>3798</v>
      </c>
    </row>
    <row r="1230" spans="1:13" x14ac:dyDescent="0.35">
      <c r="A1230" t="s">
        <v>2038</v>
      </c>
      <c r="B1230" t="s">
        <v>3799</v>
      </c>
      <c r="C1230">
        <v>13.61</v>
      </c>
      <c r="D1230">
        <v>13.7</v>
      </c>
      <c r="E1230">
        <v>13.6</v>
      </c>
      <c r="F1230">
        <v>13.69</v>
      </c>
      <c r="G1230">
        <v>13.6</v>
      </c>
      <c r="H1230">
        <v>13.61</v>
      </c>
      <c r="I1230">
        <v>15508</v>
      </c>
      <c r="J1230">
        <v>211746</v>
      </c>
      <c r="K1230" s="13">
        <v>43994</v>
      </c>
      <c r="L1230">
        <v>58</v>
      </c>
      <c r="M1230" t="s">
        <v>3800</v>
      </c>
    </row>
    <row r="1231" spans="1:13" x14ac:dyDescent="0.35">
      <c r="A1231" t="s">
        <v>2040</v>
      </c>
      <c r="B1231" t="s">
        <v>18</v>
      </c>
      <c r="C1231">
        <v>240</v>
      </c>
      <c r="D1231">
        <v>247</v>
      </c>
      <c r="E1231">
        <v>235.7</v>
      </c>
      <c r="F1231">
        <v>242.55</v>
      </c>
      <c r="G1231">
        <v>240.35</v>
      </c>
      <c r="H1231">
        <v>248.3</v>
      </c>
      <c r="I1231">
        <v>84935</v>
      </c>
      <c r="J1231">
        <v>20517536.75</v>
      </c>
      <c r="K1231" s="13">
        <v>43994</v>
      </c>
      <c r="L1231">
        <v>2763</v>
      </c>
      <c r="M1231" t="s">
        <v>2041</v>
      </c>
    </row>
    <row r="1232" spans="1:13" x14ac:dyDescent="0.35">
      <c r="A1232" t="s">
        <v>2042</v>
      </c>
      <c r="B1232" t="s">
        <v>18</v>
      </c>
      <c r="C1232">
        <v>398</v>
      </c>
      <c r="D1232">
        <v>409.9</v>
      </c>
      <c r="E1232">
        <v>380.25</v>
      </c>
      <c r="F1232">
        <v>401.9</v>
      </c>
      <c r="G1232">
        <v>404.85</v>
      </c>
      <c r="H1232">
        <v>419.35</v>
      </c>
      <c r="I1232">
        <v>5724</v>
      </c>
      <c r="J1232">
        <v>2268728.0499999998</v>
      </c>
      <c r="K1232" s="13">
        <v>43994</v>
      </c>
      <c r="L1232">
        <v>368</v>
      </c>
      <c r="M1232" t="s">
        <v>2043</v>
      </c>
    </row>
    <row r="1233" spans="1:13" x14ac:dyDescent="0.35">
      <c r="A1233" t="s">
        <v>2044</v>
      </c>
      <c r="B1233" t="s">
        <v>18</v>
      </c>
      <c r="C1233">
        <v>171</v>
      </c>
      <c r="D1233">
        <v>190.5</v>
      </c>
      <c r="E1233">
        <v>169</v>
      </c>
      <c r="F1233">
        <v>178</v>
      </c>
      <c r="G1233">
        <v>177.5</v>
      </c>
      <c r="H1233">
        <v>179.6</v>
      </c>
      <c r="I1233">
        <v>66198</v>
      </c>
      <c r="J1233">
        <v>12089004.85</v>
      </c>
      <c r="K1233" s="13">
        <v>43994</v>
      </c>
      <c r="L1233">
        <v>1465</v>
      </c>
      <c r="M1233" t="s">
        <v>2045</v>
      </c>
    </row>
    <row r="1234" spans="1:13" x14ac:dyDescent="0.35">
      <c r="A1234" t="s">
        <v>54</v>
      </c>
      <c r="B1234" t="s">
        <v>18</v>
      </c>
      <c r="C1234">
        <v>365.1</v>
      </c>
      <c r="D1234">
        <v>384.35</v>
      </c>
      <c r="E1234">
        <v>365.1</v>
      </c>
      <c r="F1234">
        <v>371.2</v>
      </c>
      <c r="G1234">
        <v>370</v>
      </c>
      <c r="H1234">
        <v>375.4</v>
      </c>
      <c r="I1234">
        <v>360720</v>
      </c>
      <c r="J1234">
        <v>134577553.80000001</v>
      </c>
      <c r="K1234" s="13">
        <v>43994</v>
      </c>
      <c r="L1234">
        <v>9948</v>
      </c>
      <c r="M1234" t="s">
        <v>2046</v>
      </c>
    </row>
    <row r="1235" spans="1:13" x14ac:dyDescent="0.35">
      <c r="A1235" t="s">
        <v>2047</v>
      </c>
      <c r="B1235" t="s">
        <v>18</v>
      </c>
      <c r="C1235">
        <v>670</v>
      </c>
      <c r="D1235">
        <v>695</v>
      </c>
      <c r="E1235">
        <v>666.2</v>
      </c>
      <c r="F1235">
        <v>690.15</v>
      </c>
      <c r="G1235">
        <v>685</v>
      </c>
      <c r="H1235">
        <v>692</v>
      </c>
      <c r="I1235">
        <v>7668</v>
      </c>
      <c r="J1235">
        <v>5202713.3499999996</v>
      </c>
      <c r="K1235" s="13">
        <v>43994</v>
      </c>
      <c r="L1235">
        <v>815</v>
      </c>
      <c r="M1235" t="s">
        <v>2048</v>
      </c>
    </row>
    <row r="1236" spans="1:13" x14ac:dyDescent="0.35">
      <c r="A1236" t="s">
        <v>2049</v>
      </c>
      <c r="B1236" t="s">
        <v>18</v>
      </c>
      <c r="C1236">
        <v>2500</v>
      </c>
      <c r="D1236">
        <v>2595.4</v>
      </c>
      <c r="E1236">
        <v>2500</v>
      </c>
      <c r="F1236">
        <v>2578</v>
      </c>
      <c r="G1236">
        <v>2580</v>
      </c>
      <c r="H1236">
        <v>2585.6999999999998</v>
      </c>
      <c r="I1236">
        <v>38819</v>
      </c>
      <c r="J1236">
        <v>99809279.200000003</v>
      </c>
      <c r="K1236" s="13">
        <v>43994</v>
      </c>
      <c r="L1236">
        <v>6255</v>
      </c>
      <c r="M1236" t="s">
        <v>2050</v>
      </c>
    </row>
    <row r="1237" spans="1:13" x14ac:dyDescent="0.35">
      <c r="A1237" t="s">
        <v>2051</v>
      </c>
      <c r="B1237" t="s">
        <v>18</v>
      </c>
      <c r="C1237">
        <v>89.8</v>
      </c>
      <c r="D1237">
        <v>91.9</v>
      </c>
      <c r="E1237">
        <v>89.7</v>
      </c>
      <c r="F1237">
        <v>91.15</v>
      </c>
      <c r="G1237">
        <v>91.25</v>
      </c>
      <c r="H1237">
        <v>93.95</v>
      </c>
      <c r="I1237">
        <v>1526885</v>
      </c>
      <c r="J1237">
        <v>138744103</v>
      </c>
      <c r="K1237" s="13">
        <v>43994</v>
      </c>
      <c r="L1237">
        <v>15168</v>
      </c>
      <c r="M1237" t="s">
        <v>2052</v>
      </c>
    </row>
    <row r="1238" spans="1:13" x14ac:dyDescent="0.35">
      <c r="A1238" t="s">
        <v>2053</v>
      </c>
      <c r="B1238" t="s">
        <v>18</v>
      </c>
      <c r="C1238">
        <v>5.25</v>
      </c>
      <c r="D1238">
        <v>5.5</v>
      </c>
      <c r="E1238">
        <v>5.25</v>
      </c>
      <c r="F1238">
        <v>5.25</v>
      </c>
      <c r="G1238">
        <v>5.25</v>
      </c>
      <c r="H1238">
        <v>5.5</v>
      </c>
      <c r="I1238">
        <v>36593</v>
      </c>
      <c r="J1238">
        <v>193344</v>
      </c>
      <c r="K1238" s="13">
        <v>43994</v>
      </c>
      <c r="L1238">
        <v>104</v>
      </c>
      <c r="M1238" t="s">
        <v>2054</v>
      </c>
    </row>
    <row r="1239" spans="1:13" x14ac:dyDescent="0.35">
      <c r="A1239" t="s">
        <v>2055</v>
      </c>
      <c r="B1239" t="s">
        <v>18</v>
      </c>
      <c r="C1239">
        <v>3.3</v>
      </c>
      <c r="D1239">
        <v>3.55</v>
      </c>
      <c r="E1239">
        <v>3.25</v>
      </c>
      <c r="F1239">
        <v>3.25</v>
      </c>
      <c r="G1239">
        <v>3.25</v>
      </c>
      <c r="H1239">
        <v>3.4</v>
      </c>
      <c r="I1239">
        <v>146806</v>
      </c>
      <c r="J1239">
        <v>487492.55</v>
      </c>
      <c r="K1239" s="13">
        <v>43994</v>
      </c>
      <c r="L1239">
        <v>165</v>
      </c>
      <c r="M1239" t="s">
        <v>2056</v>
      </c>
    </row>
    <row r="1240" spans="1:13" x14ac:dyDescent="0.35">
      <c r="A1240" t="s">
        <v>2057</v>
      </c>
      <c r="B1240" t="s">
        <v>18</v>
      </c>
      <c r="C1240">
        <v>69.45</v>
      </c>
      <c r="D1240">
        <v>69.45</v>
      </c>
      <c r="E1240">
        <v>69.45</v>
      </c>
      <c r="F1240">
        <v>69.45</v>
      </c>
      <c r="G1240">
        <v>69.45</v>
      </c>
      <c r="H1240">
        <v>73.099999999999994</v>
      </c>
      <c r="I1240">
        <v>15802</v>
      </c>
      <c r="J1240">
        <v>1097448.8999999999</v>
      </c>
      <c r="K1240" s="13">
        <v>43994</v>
      </c>
      <c r="L1240">
        <v>234</v>
      </c>
      <c r="M1240" t="s">
        <v>2058</v>
      </c>
    </row>
    <row r="1241" spans="1:13" x14ac:dyDescent="0.35">
      <c r="A1241" t="s">
        <v>2059</v>
      </c>
      <c r="B1241" t="s">
        <v>18</v>
      </c>
      <c r="C1241">
        <v>29.95</v>
      </c>
      <c r="D1241">
        <v>31.8</v>
      </c>
      <c r="E1241">
        <v>29.4</v>
      </c>
      <c r="F1241">
        <v>31.6</v>
      </c>
      <c r="G1241">
        <v>31.8</v>
      </c>
      <c r="H1241">
        <v>28.95</v>
      </c>
      <c r="I1241">
        <v>180336</v>
      </c>
      <c r="J1241">
        <v>5620922.4000000004</v>
      </c>
      <c r="K1241" s="13">
        <v>43994</v>
      </c>
      <c r="L1241">
        <v>1337</v>
      </c>
      <c r="M1241" t="s">
        <v>2060</v>
      </c>
    </row>
    <row r="1242" spans="1:13" x14ac:dyDescent="0.35">
      <c r="A1242" t="s">
        <v>2061</v>
      </c>
      <c r="B1242" t="s">
        <v>18</v>
      </c>
      <c r="C1242">
        <v>198.8</v>
      </c>
      <c r="D1242">
        <v>200.2</v>
      </c>
      <c r="E1242">
        <v>198.8</v>
      </c>
      <c r="F1242">
        <v>200.15</v>
      </c>
      <c r="G1242">
        <v>200.2</v>
      </c>
      <c r="H1242">
        <v>198.05</v>
      </c>
      <c r="I1242">
        <v>1080558</v>
      </c>
      <c r="J1242">
        <v>215859213.75</v>
      </c>
      <c r="K1242" s="13">
        <v>43994</v>
      </c>
      <c r="L1242">
        <v>8155</v>
      </c>
      <c r="M1242" t="s">
        <v>2062</v>
      </c>
    </row>
    <row r="1243" spans="1:13" x14ac:dyDescent="0.35">
      <c r="A1243" t="s">
        <v>3801</v>
      </c>
      <c r="B1243" t="s">
        <v>3391</v>
      </c>
      <c r="C1243">
        <v>4</v>
      </c>
      <c r="D1243">
        <v>4</v>
      </c>
      <c r="E1243">
        <v>3.85</v>
      </c>
      <c r="F1243">
        <v>4</v>
      </c>
      <c r="G1243">
        <v>4</v>
      </c>
      <c r="H1243">
        <v>3.85</v>
      </c>
      <c r="I1243">
        <v>8492</v>
      </c>
      <c r="J1243">
        <v>33953</v>
      </c>
      <c r="K1243" s="13">
        <v>43994</v>
      </c>
      <c r="L1243">
        <v>22</v>
      </c>
      <c r="M1243" t="s">
        <v>3802</v>
      </c>
    </row>
    <row r="1244" spans="1:13" x14ac:dyDescent="0.35">
      <c r="A1244" t="s">
        <v>2063</v>
      </c>
      <c r="B1244" t="s">
        <v>18</v>
      </c>
      <c r="C1244">
        <v>12.65</v>
      </c>
      <c r="D1244">
        <v>13.5</v>
      </c>
      <c r="E1244">
        <v>11.8</v>
      </c>
      <c r="F1244">
        <v>12.8</v>
      </c>
      <c r="G1244">
        <v>12.9</v>
      </c>
      <c r="H1244">
        <v>12.65</v>
      </c>
      <c r="I1244">
        <v>42882</v>
      </c>
      <c r="J1244">
        <v>533392.75</v>
      </c>
      <c r="K1244" s="13">
        <v>43994</v>
      </c>
      <c r="L1244">
        <v>287</v>
      </c>
      <c r="M1244" t="s">
        <v>2064</v>
      </c>
    </row>
    <row r="1245" spans="1:13" x14ac:dyDescent="0.35">
      <c r="A1245" t="s">
        <v>2065</v>
      </c>
      <c r="B1245" t="s">
        <v>18</v>
      </c>
      <c r="C1245">
        <v>6.15</v>
      </c>
      <c r="D1245">
        <v>6.15</v>
      </c>
      <c r="E1245">
        <v>5.7</v>
      </c>
      <c r="F1245">
        <v>6</v>
      </c>
      <c r="G1245">
        <v>6</v>
      </c>
      <c r="H1245">
        <v>5.9</v>
      </c>
      <c r="I1245">
        <v>2695</v>
      </c>
      <c r="J1245">
        <v>16390</v>
      </c>
      <c r="K1245" s="13">
        <v>43994</v>
      </c>
      <c r="L1245">
        <v>11</v>
      </c>
      <c r="M1245" t="s">
        <v>2066</v>
      </c>
    </row>
    <row r="1246" spans="1:13" x14ac:dyDescent="0.35">
      <c r="A1246" t="s">
        <v>2067</v>
      </c>
      <c r="B1246" t="s">
        <v>18</v>
      </c>
      <c r="C1246">
        <v>12.3</v>
      </c>
      <c r="D1246">
        <v>14.4</v>
      </c>
      <c r="E1246">
        <v>12</v>
      </c>
      <c r="F1246">
        <v>12.75</v>
      </c>
      <c r="G1246">
        <v>12.7</v>
      </c>
      <c r="H1246">
        <v>13.3</v>
      </c>
      <c r="I1246">
        <v>24172</v>
      </c>
      <c r="J1246">
        <v>300587.15000000002</v>
      </c>
      <c r="K1246" s="13">
        <v>43994</v>
      </c>
      <c r="L1246">
        <v>117</v>
      </c>
      <c r="M1246" t="s">
        <v>2068</v>
      </c>
    </row>
    <row r="1247" spans="1:13" x14ac:dyDescent="0.35">
      <c r="A1247" t="s">
        <v>2069</v>
      </c>
      <c r="B1247" t="s">
        <v>18</v>
      </c>
      <c r="C1247">
        <v>81.55</v>
      </c>
      <c r="D1247">
        <v>84.2</v>
      </c>
      <c r="E1247">
        <v>81.55</v>
      </c>
      <c r="F1247">
        <v>83.9</v>
      </c>
      <c r="G1247">
        <v>83.95</v>
      </c>
      <c r="H1247">
        <v>86.9</v>
      </c>
      <c r="I1247">
        <v>20601082</v>
      </c>
      <c r="J1247">
        <v>1713235222.7</v>
      </c>
      <c r="K1247" s="13">
        <v>43994</v>
      </c>
      <c r="L1247">
        <v>87405</v>
      </c>
      <c r="M1247" t="s">
        <v>2070</v>
      </c>
    </row>
    <row r="1248" spans="1:13" x14ac:dyDescent="0.35">
      <c r="A1248" t="s">
        <v>2071</v>
      </c>
      <c r="B1248" t="s">
        <v>18</v>
      </c>
      <c r="C1248">
        <v>27.4</v>
      </c>
      <c r="D1248">
        <v>28.5</v>
      </c>
      <c r="E1248">
        <v>27.4</v>
      </c>
      <c r="F1248">
        <v>28.2</v>
      </c>
      <c r="G1248">
        <v>28.15</v>
      </c>
      <c r="H1248">
        <v>28.75</v>
      </c>
      <c r="I1248">
        <v>49545</v>
      </c>
      <c r="J1248">
        <v>1398608.15</v>
      </c>
      <c r="K1248" s="13">
        <v>43994</v>
      </c>
      <c r="L1248">
        <v>262</v>
      </c>
      <c r="M1248" t="s">
        <v>2072</v>
      </c>
    </row>
    <row r="1249" spans="1:13" x14ac:dyDescent="0.35">
      <c r="A1249" t="s">
        <v>2073</v>
      </c>
      <c r="B1249" t="s">
        <v>18</v>
      </c>
      <c r="C1249">
        <v>53.85</v>
      </c>
      <c r="D1249">
        <v>53.85</v>
      </c>
      <c r="E1249">
        <v>48.4</v>
      </c>
      <c r="F1249">
        <v>50.45</v>
      </c>
      <c r="G1249">
        <v>51</v>
      </c>
      <c r="H1249">
        <v>54.1</v>
      </c>
      <c r="I1249">
        <v>47856</v>
      </c>
      <c r="J1249">
        <v>2399784.7000000002</v>
      </c>
      <c r="K1249" s="13">
        <v>43994</v>
      </c>
      <c r="L1249">
        <v>404</v>
      </c>
      <c r="M1249" t="s">
        <v>2074</v>
      </c>
    </row>
    <row r="1250" spans="1:13" x14ac:dyDescent="0.35">
      <c r="A1250" t="s">
        <v>3803</v>
      </c>
      <c r="B1250" t="s">
        <v>3391</v>
      </c>
      <c r="C1250">
        <v>23.75</v>
      </c>
      <c r="D1250">
        <v>24.75</v>
      </c>
      <c r="E1250">
        <v>22.85</v>
      </c>
      <c r="F1250">
        <v>23</v>
      </c>
      <c r="G1250">
        <v>22.9</v>
      </c>
      <c r="H1250">
        <v>23.6</v>
      </c>
      <c r="I1250">
        <v>25389</v>
      </c>
      <c r="J1250">
        <v>607144.6</v>
      </c>
      <c r="K1250" s="13">
        <v>43994</v>
      </c>
      <c r="L1250">
        <v>81</v>
      </c>
      <c r="M1250" t="s">
        <v>3804</v>
      </c>
    </row>
    <row r="1251" spans="1:13" x14ac:dyDescent="0.35">
      <c r="A1251" t="s">
        <v>3805</v>
      </c>
      <c r="B1251" t="s">
        <v>3391</v>
      </c>
      <c r="C1251">
        <v>9.9</v>
      </c>
      <c r="D1251">
        <v>9.9499999999999993</v>
      </c>
      <c r="E1251">
        <v>9.4499999999999993</v>
      </c>
      <c r="F1251">
        <v>9.65</v>
      </c>
      <c r="G1251">
        <v>9.6999999999999993</v>
      </c>
      <c r="H1251">
        <v>9.9</v>
      </c>
      <c r="I1251">
        <v>1049234</v>
      </c>
      <c r="J1251">
        <v>10082840.800000001</v>
      </c>
      <c r="K1251" s="13">
        <v>43994</v>
      </c>
      <c r="L1251">
        <v>1994</v>
      </c>
      <c r="M1251" t="s">
        <v>3806</v>
      </c>
    </row>
    <row r="1252" spans="1:13" x14ac:dyDescent="0.35">
      <c r="A1252" t="s">
        <v>2075</v>
      </c>
      <c r="B1252" t="s">
        <v>18</v>
      </c>
      <c r="C1252">
        <v>53</v>
      </c>
      <c r="D1252">
        <v>55.45</v>
      </c>
      <c r="E1252">
        <v>51.5</v>
      </c>
      <c r="F1252">
        <v>54.8</v>
      </c>
      <c r="G1252">
        <v>55</v>
      </c>
      <c r="H1252">
        <v>54.35</v>
      </c>
      <c r="I1252">
        <v>4300</v>
      </c>
      <c r="J1252">
        <v>229521.65</v>
      </c>
      <c r="K1252" s="13">
        <v>43994</v>
      </c>
      <c r="L1252">
        <v>136</v>
      </c>
      <c r="M1252" t="s">
        <v>2076</v>
      </c>
    </row>
    <row r="1253" spans="1:13" x14ac:dyDescent="0.35">
      <c r="A1253" t="s">
        <v>2077</v>
      </c>
      <c r="B1253" t="s">
        <v>18</v>
      </c>
      <c r="C1253">
        <v>14</v>
      </c>
      <c r="D1253">
        <v>14.6</v>
      </c>
      <c r="E1253">
        <v>13.5</v>
      </c>
      <c r="F1253">
        <v>14.35</v>
      </c>
      <c r="G1253">
        <v>14.3</v>
      </c>
      <c r="H1253">
        <v>14.35</v>
      </c>
      <c r="I1253">
        <v>79559</v>
      </c>
      <c r="J1253">
        <v>1105412.8999999999</v>
      </c>
      <c r="K1253" s="13">
        <v>43994</v>
      </c>
      <c r="L1253">
        <v>238</v>
      </c>
      <c r="M1253" t="s">
        <v>2078</v>
      </c>
    </row>
    <row r="1254" spans="1:13" x14ac:dyDescent="0.35">
      <c r="A1254" t="s">
        <v>2079</v>
      </c>
      <c r="B1254" t="s">
        <v>18</v>
      </c>
      <c r="C1254">
        <v>14.8</v>
      </c>
      <c r="D1254">
        <v>14.9</v>
      </c>
      <c r="E1254">
        <v>13.5</v>
      </c>
      <c r="F1254">
        <v>14.55</v>
      </c>
      <c r="G1254">
        <v>14.65</v>
      </c>
      <c r="H1254">
        <v>14.9</v>
      </c>
      <c r="I1254">
        <v>59985</v>
      </c>
      <c r="J1254">
        <v>853435.05</v>
      </c>
      <c r="K1254" s="13">
        <v>43994</v>
      </c>
      <c r="L1254">
        <v>355</v>
      </c>
      <c r="M1254" t="s">
        <v>2080</v>
      </c>
    </row>
    <row r="1255" spans="1:13" x14ac:dyDescent="0.35">
      <c r="A1255" t="s">
        <v>2081</v>
      </c>
      <c r="B1255" t="s">
        <v>18</v>
      </c>
      <c r="C1255">
        <v>11.1</v>
      </c>
      <c r="D1255">
        <v>11.3</v>
      </c>
      <c r="E1255">
        <v>11.1</v>
      </c>
      <c r="F1255">
        <v>11.3</v>
      </c>
      <c r="G1255">
        <v>11.3</v>
      </c>
      <c r="H1255">
        <v>10.9</v>
      </c>
      <c r="I1255">
        <v>217501</v>
      </c>
      <c r="J1255">
        <v>2435335</v>
      </c>
      <c r="K1255" s="13">
        <v>43994</v>
      </c>
      <c r="L1255">
        <v>340</v>
      </c>
      <c r="M1255" t="s">
        <v>2082</v>
      </c>
    </row>
    <row r="1256" spans="1:13" x14ac:dyDescent="0.35">
      <c r="A1256" t="s">
        <v>2083</v>
      </c>
      <c r="B1256" t="s">
        <v>18</v>
      </c>
      <c r="C1256">
        <v>58.6</v>
      </c>
      <c r="D1256">
        <v>73.3</v>
      </c>
      <c r="E1256">
        <v>57.05</v>
      </c>
      <c r="F1256">
        <v>73.3</v>
      </c>
      <c r="G1256">
        <v>73.3</v>
      </c>
      <c r="H1256">
        <v>61.1</v>
      </c>
      <c r="I1256">
        <v>561870</v>
      </c>
      <c r="J1256">
        <v>39025466.649999999</v>
      </c>
      <c r="K1256" s="13">
        <v>43994</v>
      </c>
      <c r="L1256">
        <v>4735</v>
      </c>
      <c r="M1256" t="s">
        <v>2084</v>
      </c>
    </row>
    <row r="1257" spans="1:13" x14ac:dyDescent="0.35">
      <c r="A1257" t="s">
        <v>2085</v>
      </c>
      <c r="B1257" t="s">
        <v>18</v>
      </c>
      <c r="C1257">
        <v>54.75</v>
      </c>
      <c r="D1257">
        <v>60</v>
      </c>
      <c r="E1257">
        <v>54.6</v>
      </c>
      <c r="F1257">
        <v>59.7</v>
      </c>
      <c r="G1257">
        <v>59.7</v>
      </c>
      <c r="H1257">
        <v>59</v>
      </c>
      <c r="I1257">
        <v>831972</v>
      </c>
      <c r="J1257">
        <v>47961087.950000003</v>
      </c>
      <c r="K1257" s="13">
        <v>43994</v>
      </c>
      <c r="L1257">
        <v>4694</v>
      </c>
      <c r="M1257" t="s">
        <v>2086</v>
      </c>
    </row>
    <row r="1258" spans="1:13" x14ac:dyDescent="0.35">
      <c r="A1258" t="s">
        <v>2087</v>
      </c>
      <c r="B1258" t="s">
        <v>18</v>
      </c>
      <c r="C1258">
        <v>170.2</v>
      </c>
      <c r="D1258">
        <v>179.9</v>
      </c>
      <c r="E1258">
        <v>170.2</v>
      </c>
      <c r="F1258">
        <v>178.7</v>
      </c>
      <c r="G1258">
        <v>179.5</v>
      </c>
      <c r="H1258">
        <v>178.75</v>
      </c>
      <c r="I1258">
        <v>417328</v>
      </c>
      <c r="J1258">
        <v>72950142.700000003</v>
      </c>
      <c r="K1258" s="13">
        <v>43994</v>
      </c>
      <c r="L1258">
        <v>3045</v>
      </c>
      <c r="M1258" t="s">
        <v>2088</v>
      </c>
    </row>
    <row r="1259" spans="1:13" x14ac:dyDescent="0.35">
      <c r="A1259" t="s">
        <v>2089</v>
      </c>
      <c r="B1259" t="s">
        <v>18</v>
      </c>
      <c r="C1259">
        <v>20.5</v>
      </c>
      <c r="D1259">
        <v>22</v>
      </c>
      <c r="E1259">
        <v>19.8</v>
      </c>
      <c r="F1259">
        <v>21.8</v>
      </c>
      <c r="G1259">
        <v>21.95</v>
      </c>
      <c r="H1259">
        <v>22</v>
      </c>
      <c r="I1259">
        <v>78909</v>
      </c>
      <c r="J1259">
        <v>1650174.05</v>
      </c>
      <c r="K1259" s="13">
        <v>43994</v>
      </c>
      <c r="L1259">
        <v>497</v>
      </c>
      <c r="M1259" t="s">
        <v>2090</v>
      </c>
    </row>
    <row r="1260" spans="1:13" x14ac:dyDescent="0.35">
      <c r="A1260" t="s">
        <v>2091</v>
      </c>
      <c r="B1260" t="s">
        <v>18</v>
      </c>
      <c r="C1260">
        <v>87.4</v>
      </c>
      <c r="D1260">
        <v>93.95</v>
      </c>
      <c r="E1260">
        <v>85.05</v>
      </c>
      <c r="F1260">
        <v>86.95</v>
      </c>
      <c r="G1260">
        <v>86.8</v>
      </c>
      <c r="H1260">
        <v>89.5</v>
      </c>
      <c r="I1260">
        <v>2326</v>
      </c>
      <c r="J1260">
        <v>209202.45</v>
      </c>
      <c r="K1260" s="13">
        <v>43994</v>
      </c>
      <c r="L1260">
        <v>73</v>
      </c>
      <c r="M1260" t="s">
        <v>2092</v>
      </c>
    </row>
    <row r="1261" spans="1:13" x14ac:dyDescent="0.35">
      <c r="A1261" t="s">
        <v>2093</v>
      </c>
      <c r="B1261" t="s">
        <v>18</v>
      </c>
      <c r="C1261">
        <v>18.899999999999999</v>
      </c>
      <c r="D1261">
        <v>20.350000000000001</v>
      </c>
      <c r="E1261">
        <v>18.600000000000001</v>
      </c>
      <c r="F1261">
        <v>19.95</v>
      </c>
      <c r="G1261">
        <v>19.850000000000001</v>
      </c>
      <c r="H1261">
        <v>19.8</v>
      </c>
      <c r="I1261">
        <v>709748</v>
      </c>
      <c r="J1261">
        <v>13833180.9</v>
      </c>
      <c r="K1261" s="13">
        <v>43994</v>
      </c>
      <c r="L1261">
        <v>2256</v>
      </c>
      <c r="M1261" t="s">
        <v>2094</v>
      </c>
    </row>
    <row r="1262" spans="1:13" x14ac:dyDescent="0.35">
      <c r="A1262" t="s">
        <v>2095</v>
      </c>
      <c r="B1262" t="s">
        <v>18</v>
      </c>
      <c r="C1262">
        <v>141.5</v>
      </c>
      <c r="D1262">
        <v>148.4</v>
      </c>
      <c r="E1262">
        <v>141.1</v>
      </c>
      <c r="F1262">
        <v>144.94999999999999</v>
      </c>
      <c r="G1262">
        <v>147.5</v>
      </c>
      <c r="H1262">
        <v>148.75</v>
      </c>
      <c r="I1262">
        <v>69704</v>
      </c>
      <c r="J1262">
        <v>10036962.050000001</v>
      </c>
      <c r="K1262" s="13">
        <v>43994</v>
      </c>
      <c r="L1262">
        <v>1635</v>
      </c>
      <c r="M1262" t="s">
        <v>2096</v>
      </c>
    </row>
    <row r="1263" spans="1:13" x14ac:dyDescent="0.35">
      <c r="A1263" t="s">
        <v>2097</v>
      </c>
      <c r="B1263" t="s">
        <v>18</v>
      </c>
      <c r="C1263">
        <v>1528.45</v>
      </c>
      <c r="D1263">
        <v>1648</v>
      </c>
      <c r="E1263">
        <v>1527.9</v>
      </c>
      <c r="F1263">
        <v>1608.95</v>
      </c>
      <c r="G1263">
        <v>1605</v>
      </c>
      <c r="H1263">
        <v>1597.85</v>
      </c>
      <c r="I1263">
        <v>8002</v>
      </c>
      <c r="J1263">
        <v>12687122.550000001</v>
      </c>
      <c r="K1263" s="13">
        <v>43994</v>
      </c>
      <c r="L1263">
        <v>2050</v>
      </c>
      <c r="M1263" t="s">
        <v>2098</v>
      </c>
    </row>
    <row r="1264" spans="1:13" x14ac:dyDescent="0.35">
      <c r="A1264" t="s">
        <v>3807</v>
      </c>
      <c r="B1264" t="s">
        <v>3414</v>
      </c>
      <c r="C1264">
        <v>1.25</v>
      </c>
      <c r="D1264">
        <v>1.25</v>
      </c>
      <c r="E1264">
        <v>1.1499999999999999</v>
      </c>
      <c r="F1264">
        <v>1.2</v>
      </c>
      <c r="G1264">
        <v>1.25</v>
      </c>
      <c r="H1264">
        <v>1.2</v>
      </c>
      <c r="I1264">
        <v>20349</v>
      </c>
      <c r="J1264">
        <v>24033.15</v>
      </c>
      <c r="K1264" s="13">
        <v>43994</v>
      </c>
      <c r="L1264">
        <v>33</v>
      </c>
      <c r="M1264" t="s">
        <v>3808</v>
      </c>
    </row>
    <row r="1265" spans="1:13" x14ac:dyDescent="0.35">
      <c r="A1265" t="s">
        <v>2099</v>
      </c>
      <c r="B1265" t="s">
        <v>18</v>
      </c>
      <c r="C1265">
        <v>12.15</v>
      </c>
      <c r="D1265">
        <v>12.75</v>
      </c>
      <c r="E1265">
        <v>11.35</v>
      </c>
      <c r="F1265">
        <v>12.55</v>
      </c>
      <c r="G1265">
        <v>12.75</v>
      </c>
      <c r="H1265">
        <v>12.45</v>
      </c>
      <c r="I1265">
        <v>36245</v>
      </c>
      <c r="J1265">
        <v>429216.5</v>
      </c>
      <c r="K1265" s="13">
        <v>43994</v>
      </c>
      <c r="L1265">
        <v>248</v>
      </c>
      <c r="M1265" t="s">
        <v>2100</v>
      </c>
    </row>
    <row r="1266" spans="1:13" x14ac:dyDescent="0.35">
      <c r="A1266" t="s">
        <v>2101</v>
      </c>
      <c r="B1266" t="s">
        <v>18</v>
      </c>
      <c r="C1266">
        <v>7.5</v>
      </c>
      <c r="D1266">
        <v>7.55</v>
      </c>
      <c r="E1266">
        <v>7.05</v>
      </c>
      <c r="F1266">
        <v>7.3</v>
      </c>
      <c r="G1266">
        <v>7.3</v>
      </c>
      <c r="H1266">
        <v>7.5</v>
      </c>
      <c r="I1266">
        <v>109114</v>
      </c>
      <c r="J1266">
        <v>797230.75</v>
      </c>
      <c r="K1266" s="13">
        <v>43994</v>
      </c>
      <c r="L1266">
        <v>362</v>
      </c>
      <c r="M1266" t="s">
        <v>2102</v>
      </c>
    </row>
    <row r="1267" spans="1:13" x14ac:dyDescent="0.35">
      <c r="A1267" t="s">
        <v>3809</v>
      </c>
      <c r="B1267" t="s">
        <v>3381</v>
      </c>
      <c r="C1267">
        <v>32.5</v>
      </c>
      <c r="D1267">
        <v>32.549999999999997</v>
      </c>
      <c r="E1267">
        <v>31.65</v>
      </c>
      <c r="F1267">
        <v>32.4</v>
      </c>
      <c r="G1267">
        <v>32.4</v>
      </c>
      <c r="H1267">
        <v>32.549999999999997</v>
      </c>
      <c r="I1267">
        <v>24000</v>
      </c>
      <c r="J1267">
        <v>775800</v>
      </c>
      <c r="K1267" s="13">
        <v>43994</v>
      </c>
      <c r="L1267">
        <v>6</v>
      </c>
      <c r="M1267" t="s">
        <v>3810</v>
      </c>
    </row>
    <row r="1268" spans="1:13" x14ac:dyDescent="0.35">
      <c r="A1268" t="s">
        <v>2103</v>
      </c>
      <c r="B1268" t="s">
        <v>18</v>
      </c>
      <c r="C1268">
        <v>1.75</v>
      </c>
      <c r="D1268">
        <v>1.75</v>
      </c>
      <c r="E1268">
        <v>1.75</v>
      </c>
      <c r="F1268">
        <v>1.75</v>
      </c>
      <c r="G1268">
        <v>1.75</v>
      </c>
      <c r="H1268">
        <v>1.8</v>
      </c>
      <c r="I1268">
        <v>150</v>
      </c>
      <c r="J1268">
        <v>262.5</v>
      </c>
      <c r="K1268" s="13">
        <v>43994</v>
      </c>
      <c r="L1268">
        <v>1</v>
      </c>
      <c r="M1268" t="s">
        <v>2104</v>
      </c>
    </row>
    <row r="1269" spans="1:13" x14ac:dyDescent="0.35">
      <c r="A1269" t="s">
        <v>2105</v>
      </c>
      <c r="B1269" t="s">
        <v>18</v>
      </c>
      <c r="C1269">
        <v>18401</v>
      </c>
      <c r="D1269">
        <v>18745</v>
      </c>
      <c r="E1269">
        <v>18154</v>
      </c>
      <c r="F1269">
        <v>18548.2</v>
      </c>
      <c r="G1269">
        <v>18570</v>
      </c>
      <c r="H1269">
        <v>18759.25</v>
      </c>
      <c r="I1269">
        <v>34557</v>
      </c>
      <c r="J1269">
        <v>638768886.5</v>
      </c>
      <c r="K1269" s="13">
        <v>43994</v>
      </c>
      <c r="L1269">
        <v>12299</v>
      </c>
      <c r="M1269" t="s">
        <v>2106</v>
      </c>
    </row>
    <row r="1270" spans="1:13" x14ac:dyDescent="0.35">
      <c r="A1270" t="s">
        <v>2107</v>
      </c>
      <c r="B1270" t="s">
        <v>18</v>
      </c>
      <c r="C1270">
        <v>193.1</v>
      </c>
      <c r="D1270">
        <v>205</v>
      </c>
      <c r="E1270">
        <v>181.1</v>
      </c>
      <c r="F1270">
        <v>203.55</v>
      </c>
      <c r="G1270">
        <v>200.45</v>
      </c>
      <c r="H1270">
        <v>202.75</v>
      </c>
      <c r="I1270">
        <v>5268</v>
      </c>
      <c r="J1270">
        <v>1018592.9</v>
      </c>
      <c r="K1270" s="13">
        <v>43994</v>
      </c>
      <c r="L1270">
        <v>225</v>
      </c>
      <c r="M1270" t="s">
        <v>2108</v>
      </c>
    </row>
    <row r="1271" spans="1:13" x14ac:dyDescent="0.35">
      <c r="A1271" t="s">
        <v>2109</v>
      </c>
      <c r="B1271" t="s">
        <v>18</v>
      </c>
      <c r="C1271">
        <v>27.85</v>
      </c>
      <c r="D1271">
        <v>27.85</v>
      </c>
      <c r="E1271">
        <v>25.55</v>
      </c>
      <c r="F1271">
        <v>26.9</v>
      </c>
      <c r="G1271">
        <v>26.9</v>
      </c>
      <c r="H1271">
        <v>26.85</v>
      </c>
      <c r="I1271">
        <v>1445</v>
      </c>
      <c r="J1271">
        <v>37629.449999999997</v>
      </c>
      <c r="K1271" s="13">
        <v>43994</v>
      </c>
      <c r="L1271">
        <v>29</v>
      </c>
      <c r="M1271" t="s">
        <v>2110</v>
      </c>
    </row>
    <row r="1272" spans="1:13" x14ac:dyDescent="0.35">
      <c r="A1272" t="s">
        <v>2111</v>
      </c>
      <c r="B1272" t="s">
        <v>18</v>
      </c>
      <c r="C1272">
        <v>12.4</v>
      </c>
      <c r="D1272">
        <v>13.5</v>
      </c>
      <c r="E1272">
        <v>12.4</v>
      </c>
      <c r="F1272">
        <v>13.45</v>
      </c>
      <c r="G1272">
        <v>13.45</v>
      </c>
      <c r="H1272">
        <v>13</v>
      </c>
      <c r="I1272">
        <v>2522</v>
      </c>
      <c r="J1272">
        <v>32874</v>
      </c>
      <c r="K1272" s="13">
        <v>43994</v>
      </c>
      <c r="L1272">
        <v>14</v>
      </c>
      <c r="M1272" t="s">
        <v>2112</v>
      </c>
    </row>
    <row r="1273" spans="1:13" x14ac:dyDescent="0.35">
      <c r="A1273" t="s">
        <v>2113</v>
      </c>
      <c r="B1273" t="s">
        <v>18</v>
      </c>
      <c r="C1273">
        <v>241</v>
      </c>
      <c r="D1273">
        <v>263.35000000000002</v>
      </c>
      <c r="E1273">
        <v>220.4</v>
      </c>
      <c r="F1273">
        <v>231.9</v>
      </c>
      <c r="G1273">
        <v>231.95</v>
      </c>
      <c r="H1273">
        <v>242.1</v>
      </c>
      <c r="I1273">
        <v>2950492</v>
      </c>
      <c r="J1273">
        <v>712036390.29999995</v>
      </c>
      <c r="K1273" s="13">
        <v>43994</v>
      </c>
      <c r="L1273">
        <v>53560</v>
      </c>
      <c r="M1273" t="s">
        <v>2114</v>
      </c>
    </row>
    <row r="1274" spans="1:13" x14ac:dyDescent="0.35">
      <c r="A1274" t="s">
        <v>2115</v>
      </c>
      <c r="B1274" t="s">
        <v>18</v>
      </c>
      <c r="C1274">
        <v>40.200000000000003</v>
      </c>
      <c r="D1274">
        <v>43.6</v>
      </c>
      <c r="E1274">
        <v>36.35</v>
      </c>
      <c r="F1274">
        <v>40</v>
      </c>
      <c r="G1274">
        <v>40</v>
      </c>
      <c r="H1274">
        <v>40.200000000000003</v>
      </c>
      <c r="I1274">
        <v>333</v>
      </c>
      <c r="J1274">
        <v>13271.1</v>
      </c>
      <c r="K1274" s="13">
        <v>43994</v>
      </c>
      <c r="L1274">
        <v>18</v>
      </c>
      <c r="M1274" t="s">
        <v>2116</v>
      </c>
    </row>
    <row r="1275" spans="1:13" x14ac:dyDescent="0.35">
      <c r="A1275" t="s">
        <v>2117</v>
      </c>
      <c r="B1275" t="s">
        <v>18</v>
      </c>
      <c r="C1275">
        <v>40.1</v>
      </c>
      <c r="D1275">
        <v>44.4</v>
      </c>
      <c r="E1275">
        <v>39.25</v>
      </c>
      <c r="F1275">
        <v>41.1</v>
      </c>
      <c r="G1275">
        <v>40.75</v>
      </c>
      <c r="H1275">
        <v>42.45</v>
      </c>
      <c r="I1275">
        <v>42578</v>
      </c>
      <c r="J1275">
        <v>1784325.15</v>
      </c>
      <c r="K1275" s="13">
        <v>43994</v>
      </c>
      <c r="L1275">
        <v>551</v>
      </c>
      <c r="M1275" t="s">
        <v>2118</v>
      </c>
    </row>
    <row r="1276" spans="1:13" x14ac:dyDescent="0.35">
      <c r="A1276" t="s">
        <v>2119</v>
      </c>
      <c r="B1276" t="s">
        <v>18</v>
      </c>
      <c r="C1276">
        <v>197</v>
      </c>
      <c r="D1276">
        <v>199.9</v>
      </c>
      <c r="E1276">
        <v>192.2</v>
      </c>
      <c r="F1276">
        <v>198.5</v>
      </c>
      <c r="G1276">
        <v>198.9</v>
      </c>
      <c r="H1276">
        <v>200.45</v>
      </c>
      <c r="I1276">
        <v>40846</v>
      </c>
      <c r="J1276">
        <v>8021216.5999999996</v>
      </c>
      <c r="K1276" s="13">
        <v>43994</v>
      </c>
      <c r="L1276">
        <v>1318</v>
      </c>
      <c r="M1276" t="s">
        <v>2120</v>
      </c>
    </row>
    <row r="1277" spans="1:13" x14ac:dyDescent="0.35">
      <c r="A1277" t="s">
        <v>3811</v>
      </c>
      <c r="B1277" t="s">
        <v>3381</v>
      </c>
      <c r="C1277">
        <v>42.8</v>
      </c>
      <c r="D1277">
        <v>42.8</v>
      </c>
      <c r="E1277">
        <v>42.8</v>
      </c>
      <c r="F1277">
        <v>42.8</v>
      </c>
      <c r="G1277">
        <v>42.8</v>
      </c>
      <c r="H1277">
        <v>43.95</v>
      </c>
      <c r="I1277">
        <v>2000</v>
      </c>
      <c r="J1277">
        <v>85600</v>
      </c>
      <c r="K1277" s="13">
        <v>43994</v>
      </c>
      <c r="L1277">
        <v>1</v>
      </c>
      <c r="M1277" t="s">
        <v>3812</v>
      </c>
    </row>
    <row r="1278" spans="1:13" x14ac:dyDescent="0.35">
      <c r="A1278" t="s">
        <v>3813</v>
      </c>
      <c r="B1278" t="s">
        <v>3414</v>
      </c>
      <c r="C1278">
        <v>1.9</v>
      </c>
      <c r="D1278">
        <v>1.9</v>
      </c>
      <c r="E1278">
        <v>1.8</v>
      </c>
      <c r="F1278">
        <v>1.8</v>
      </c>
      <c r="G1278">
        <v>1.9</v>
      </c>
      <c r="H1278">
        <v>1.85</v>
      </c>
      <c r="I1278">
        <v>8887</v>
      </c>
      <c r="J1278">
        <v>16427.650000000001</v>
      </c>
      <c r="K1278" s="13">
        <v>43994</v>
      </c>
      <c r="L1278">
        <v>43</v>
      </c>
      <c r="M1278" t="s">
        <v>3814</v>
      </c>
    </row>
    <row r="1279" spans="1:13" x14ac:dyDescent="0.35">
      <c r="A1279" t="s">
        <v>2121</v>
      </c>
      <c r="B1279" t="s">
        <v>18</v>
      </c>
      <c r="C1279">
        <v>7.5</v>
      </c>
      <c r="D1279">
        <v>8</v>
      </c>
      <c r="E1279">
        <v>7.05</v>
      </c>
      <c r="F1279">
        <v>7.75</v>
      </c>
      <c r="G1279">
        <v>7.85</v>
      </c>
      <c r="H1279">
        <v>7.85</v>
      </c>
      <c r="I1279">
        <v>149872</v>
      </c>
      <c r="J1279">
        <v>1124713.1000000001</v>
      </c>
      <c r="K1279" s="13">
        <v>43994</v>
      </c>
      <c r="L1279">
        <v>386</v>
      </c>
      <c r="M1279" t="s">
        <v>2122</v>
      </c>
    </row>
    <row r="1280" spans="1:13" x14ac:dyDescent="0.35">
      <c r="A1280" t="s">
        <v>2123</v>
      </c>
      <c r="B1280" t="s">
        <v>18</v>
      </c>
      <c r="C1280">
        <v>93.3</v>
      </c>
      <c r="D1280">
        <v>98</v>
      </c>
      <c r="E1280">
        <v>91.05</v>
      </c>
      <c r="F1280">
        <v>96.25</v>
      </c>
      <c r="G1280">
        <v>96</v>
      </c>
      <c r="H1280">
        <v>98.5</v>
      </c>
      <c r="I1280">
        <v>554437</v>
      </c>
      <c r="J1280">
        <v>52875473.850000001</v>
      </c>
      <c r="K1280" s="13">
        <v>43994</v>
      </c>
      <c r="L1280">
        <v>5657</v>
      </c>
      <c r="M1280" t="s">
        <v>2124</v>
      </c>
    </row>
    <row r="1281" spans="1:13" x14ac:dyDescent="0.35">
      <c r="A1281" t="s">
        <v>3815</v>
      </c>
      <c r="B1281" t="s">
        <v>3391</v>
      </c>
      <c r="C1281">
        <v>2.2999999999999998</v>
      </c>
      <c r="D1281">
        <v>2.4500000000000002</v>
      </c>
      <c r="E1281">
        <v>2.25</v>
      </c>
      <c r="F1281">
        <v>2.4</v>
      </c>
      <c r="G1281">
        <v>2.4500000000000002</v>
      </c>
      <c r="H1281">
        <v>2.35</v>
      </c>
      <c r="I1281">
        <v>194557</v>
      </c>
      <c r="J1281">
        <v>458435.8</v>
      </c>
      <c r="K1281" s="13">
        <v>43994</v>
      </c>
      <c r="L1281">
        <v>114</v>
      </c>
      <c r="M1281" t="s">
        <v>3816</v>
      </c>
    </row>
    <row r="1282" spans="1:13" x14ac:dyDescent="0.35">
      <c r="A1282" t="s">
        <v>2125</v>
      </c>
      <c r="B1282" t="s">
        <v>18</v>
      </c>
      <c r="C1282">
        <v>13.5</v>
      </c>
      <c r="D1282">
        <v>13.75</v>
      </c>
      <c r="E1282">
        <v>13.1</v>
      </c>
      <c r="F1282">
        <v>13.55</v>
      </c>
      <c r="G1282">
        <v>13.5</v>
      </c>
      <c r="H1282">
        <v>13.9</v>
      </c>
      <c r="I1282">
        <v>157388</v>
      </c>
      <c r="J1282">
        <v>2105984.7999999998</v>
      </c>
      <c r="K1282" s="13">
        <v>43994</v>
      </c>
      <c r="L1282">
        <v>542</v>
      </c>
      <c r="M1282" t="s">
        <v>2126</v>
      </c>
    </row>
    <row r="1283" spans="1:13" x14ac:dyDescent="0.35">
      <c r="A1283" t="s">
        <v>2127</v>
      </c>
      <c r="B1283" t="s">
        <v>18</v>
      </c>
      <c r="C1283">
        <v>18.95</v>
      </c>
      <c r="D1283">
        <v>21.7</v>
      </c>
      <c r="E1283">
        <v>18.149999999999999</v>
      </c>
      <c r="F1283">
        <v>19.850000000000001</v>
      </c>
      <c r="G1283">
        <v>20.9</v>
      </c>
      <c r="H1283">
        <v>19.899999999999999</v>
      </c>
      <c r="I1283">
        <v>20057</v>
      </c>
      <c r="J1283">
        <v>390372.85</v>
      </c>
      <c r="K1283" s="13">
        <v>43994</v>
      </c>
      <c r="L1283">
        <v>174</v>
      </c>
      <c r="M1283" t="s">
        <v>2128</v>
      </c>
    </row>
    <row r="1284" spans="1:13" x14ac:dyDescent="0.35">
      <c r="A1284" t="s">
        <v>2129</v>
      </c>
      <c r="B1284" t="s">
        <v>18</v>
      </c>
      <c r="C1284">
        <v>4.05</v>
      </c>
      <c r="D1284">
        <v>4.05</v>
      </c>
      <c r="E1284">
        <v>4.05</v>
      </c>
      <c r="F1284">
        <v>4.05</v>
      </c>
      <c r="G1284">
        <v>4.05</v>
      </c>
      <c r="H1284">
        <v>3.9</v>
      </c>
      <c r="I1284">
        <v>2100</v>
      </c>
      <c r="J1284">
        <v>8505</v>
      </c>
      <c r="K1284" s="13">
        <v>43994</v>
      </c>
      <c r="L1284">
        <v>2</v>
      </c>
      <c r="M1284" t="s">
        <v>2130</v>
      </c>
    </row>
    <row r="1285" spans="1:13" x14ac:dyDescent="0.35">
      <c r="A1285" t="s">
        <v>2131</v>
      </c>
      <c r="B1285" t="s">
        <v>18</v>
      </c>
      <c r="C1285">
        <v>16.2</v>
      </c>
      <c r="D1285">
        <v>16.2</v>
      </c>
      <c r="E1285">
        <v>16.2</v>
      </c>
      <c r="F1285">
        <v>16.2</v>
      </c>
      <c r="G1285">
        <v>16.2</v>
      </c>
      <c r="H1285">
        <v>17.05</v>
      </c>
      <c r="I1285">
        <v>963016</v>
      </c>
      <c r="J1285">
        <v>15600859.199999999</v>
      </c>
      <c r="K1285" s="13">
        <v>43994</v>
      </c>
      <c r="L1285">
        <v>3020</v>
      </c>
      <c r="M1285" t="s">
        <v>2132</v>
      </c>
    </row>
    <row r="1286" spans="1:13" x14ac:dyDescent="0.35">
      <c r="A1286" t="s">
        <v>2133</v>
      </c>
      <c r="B1286" t="s">
        <v>18</v>
      </c>
      <c r="C1286">
        <v>13.5</v>
      </c>
      <c r="D1286">
        <v>14.7</v>
      </c>
      <c r="E1286">
        <v>12.75</v>
      </c>
      <c r="F1286">
        <v>14</v>
      </c>
      <c r="G1286">
        <v>14.2</v>
      </c>
      <c r="H1286">
        <v>13.85</v>
      </c>
      <c r="I1286">
        <v>141905</v>
      </c>
      <c r="J1286">
        <v>1926033.9</v>
      </c>
      <c r="K1286" s="13">
        <v>43994</v>
      </c>
      <c r="L1286">
        <v>506</v>
      </c>
      <c r="M1286" t="s">
        <v>2134</v>
      </c>
    </row>
    <row r="1287" spans="1:13" x14ac:dyDescent="0.35">
      <c r="A1287" t="s">
        <v>2135</v>
      </c>
      <c r="B1287" t="s">
        <v>18</v>
      </c>
      <c r="C1287">
        <v>262</v>
      </c>
      <c r="D1287">
        <v>262</v>
      </c>
      <c r="E1287">
        <v>250</v>
      </c>
      <c r="F1287">
        <v>260.7</v>
      </c>
      <c r="G1287">
        <v>261</v>
      </c>
      <c r="H1287">
        <v>262</v>
      </c>
      <c r="I1287">
        <v>3309</v>
      </c>
      <c r="J1287">
        <v>856935.9</v>
      </c>
      <c r="K1287" s="13">
        <v>43994</v>
      </c>
      <c r="L1287">
        <v>101</v>
      </c>
      <c r="M1287" t="s">
        <v>2136</v>
      </c>
    </row>
    <row r="1288" spans="1:13" x14ac:dyDescent="0.35">
      <c r="A1288" t="s">
        <v>2137</v>
      </c>
      <c r="B1288" t="s">
        <v>18</v>
      </c>
      <c r="C1288">
        <v>11.9</v>
      </c>
      <c r="D1288">
        <v>11.9</v>
      </c>
      <c r="E1288">
        <v>11.7</v>
      </c>
      <c r="F1288">
        <v>11.7</v>
      </c>
      <c r="G1288">
        <v>11.7</v>
      </c>
      <c r="H1288">
        <v>12.1</v>
      </c>
      <c r="I1288">
        <v>555</v>
      </c>
      <c r="J1288">
        <v>6497.5</v>
      </c>
      <c r="K1288" s="13">
        <v>43994</v>
      </c>
      <c r="L1288">
        <v>10</v>
      </c>
      <c r="M1288" t="s">
        <v>2138</v>
      </c>
    </row>
    <row r="1289" spans="1:13" x14ac:dyDescent="0.35">
      <c r="A1289" t="s">
        <v>2139</v>
      </c>
      <c r="B1289" t="s">
        <v>18</v>
      </c>
      <c r="C1289">
        <v>990</v>
      </c>
      <c r="D1289">
        <v>1071.95</v>
      </c>
      <c r="E1289">
        <v>990</v>
      </c>
      <c r="F1289">
        <v>1064.4000000000001</v>
      </c>
      <c r="G1289">
        <v>1057</v>
      </c>
      <c r="H1289">
        <v>1026.05</v>
      </c>
      <c r="I1289">
        <v>1842505</v>
      </c>
      <c r="J1289">
        <v>1910117295.5</v>
      </c>
      <c r="K1289" s="13">
        <v>43994</v>
      </c>
      <c r="L1289">
        <v>57131</v>
      </c>
      <c r="M1289" t="s">
        <v>2140</v>
      </c>
    </row>
    <row r="1290" spans="1:13" x14ac:dyDescent="0.35">
      <c r="A1290" t="s">
        <v>2141</v>
      </c>
      <c r="B1290" t="s">
        <v>18</v>
      </c>
      <c r="C1290">
        <v>16.5</v>
      </c>
      <c r="D1290">
        <v>17.850000000000001</v>
      </c>
      <c r="E1290">
        <v>16.2</v>
      </c>
      <c r="F1290">
        <v>17.45</v>
      </c>
      <c r="G1290">
        <v>17.350000000000001</v>
      </c>
      <c r="H1290">
        <v>17.25</v>
      </c>
      <c r="I1290">
        <v>318148</v>
      </c>
      <c r="J1290">
        <v>5438684.5</v>
      </c>
      <c r="K1290" s="13">
        <v>43994</v>
      </c>
      <c r="L1290">
        <v>990</v>
      </c>
      <c r="M1290" t="s">
        <v>2142</v>
      </c>
    </row>
    <row r="1291" spans="1:13" x14ac:dyDescent="0.35">
      <c r="A1291" t="s">
        <v>2143</v>
      </c>
      <c r="B1291" t="s">
        <v>18</v>
      </c>
      <c r="C1291">
        <v>3.75</v>
      </c>
      <c r="D1291">
        <v>4.05</v>
      </c>
      <c r="E1291">
        <v>3.6</v>
      </c>
      <c r="F1291">
        <v>3.85</v>
      </c>
      <c r="G1291">
        <v>3.9</v>
      </c>
      <c r="H1291">
        <v>3.95</v>
      </c>
      <c r="I1291">
        <v>239141</v>
      </c>
      <c r="J1291">
        <v>905862.35</v>
      </c>
      <c r="K1291" s="13">
        <v>43994</v>
      </c>
      <c r="L1291">
        <v>264</v>
      </c>
      <c r="M1291" t="s">
        <v>2144</v>
      </c>
    </row>
    <row r="1292" spans="1:13" x14ac:dyDescent="0.35">
      <c r="A1292" t="s">
        <v>2145</v>
      </c>
      <c r="B1292" t="s">
        <v>18</v>
      </c>
      <c r="C1292">
        <v>573</v>
      </c>
      <c r="D1292">
        <v>587.20000000000005</v>
      </c>
      <c r="E1292">
        <v>572.35</v>
      </c>
      <c r="F1292">
        <v>585.20000000000005</v>
      </c>
      <c r="G1292">
        <v>585.1</v>
      </c>
      <c r="H1292">
        <v>590.1</v>
      </c>
      <c r="I1292">
        <v>28551</v>
      </c>
      <c r="J1292">
        <v>16570001.4</v>
      </c>
      <c r="K1292" s="13">
        <v>43994</v>
      </c>
      <c r="L1292">
        <v>1745</v>
      </c>
      <c r="M1292" t="s">
        <v>2146</v>
      </c>
    </row>
    <row r="1293" spans="1:13" x14ac:dyDescent="0.35">
      <c r="A1293" t="s">
        <v>2147</v>
      </c>
      <c r="B1293" t="s">
        <v>18</v>
      </c>
      <c r="C1293">
        <v>249</v>
      </c>
      <c r="D1293">
        <v>264.8</v>
      </c>
      <c r="E1293">
        <v>248</v>
      </c>
      <c r="F1293">
        <v>260.10000000000002</v>
      </c>
      <c r="G1293">
        <v>259.75</v>
      </c>
      <c r="H1293">
        <v>255.15</v>
      </c>
      <c r="I1293">
        <v>7255495</v>
      </c>
      <c r="J1293">
        <v>1886201903.45</v>
      </c>
      <c r="K1293" s="13">
        <v>43994</v>
      </c>
      <c r="L1293">
        <v>103785</v>
      </c>
      <c r="M1293" t="s">
        <v>2148</v>
      </c>
    </row>
    <row r="1294" spans="1:13" x14ac:dyDescent="0.35">
      <c r="A1294" t="s">
        <v>2149</v>
      </c>
      <c r="B1294" t="s">
        <v>18</v>
      </c>
      <c r="C1294">
        <v>80</v>
      </c>
      <c r="D1294">
        <v>84</v>
      </c>
      <c r="E1294">
        <v>79.400000000000006</v>
      </c>
      <c r="F1294">
        <v>83.6</v>
      </c>
      <c r="G1294">
        <v>83.2</v>
      </c>
      <c r="H1294">
        <v>82.85</v>
      </c>
      <c r="I1294">
        <v>11059886</v>
      </c>
      <c r="J1294">
        <v>903894510.64999998</v>
      </c>
      <c r="K1294" s="13">
        <v>43994</v>
      </c>
      <c r="L1294">
        <v>52854</v>
      </c>
      <c r="M1294" t="s">
        <v>2150</v>
      </c>
    </row>
    <row r="1295" spans="1:13" x14ac:dyDescent="0.35">
      <c r="A1295" t="s">
        <v>2149</v>
      </c>
      <c r="B1295" t="s">
        <v>3512</v>
      </c>
      <c r="C1295">
        <v>1111</v>
      </c>
      <c r="D1295">
        <v>1111</v>
      </c>
      <c r="E1295">
        <v>1111</v>
      </c>
      <c r="F1295">
        <v>1111</v>
      </c>
      <c r="G1295">
        <v>1111</v>
      </c>
      <c r="H1295">
        <v>1115</v>
      </c>
      <c r="I1295">
        <v>20</v>
      </c>
      <c r="J1295">
        <v>22220</v>
      </c>
      <c r="K1295" s="13">
        <v>43994</v>
      </c>
      <c r="L1295">
        <v>1</v>
      </c>
      <c r="M1295" t="s">
        <v>3817</v>
      </c>
    </row>
    <row r="1296" spans="1:13" x14ac:dyDescent="0.35">
      <c r="A1296" t="s">
        <v>2149</v>
      </c>
      <c r="B1296" t="s">
        <v>3514</v>
      </c>
      <c r="C1296">
        <v>1252.5</v>
      </c>
      <c r="D1296">
        <v>1253.17</v>
      </c>
      <c r="E1296">
        <v>1250</v>
      </c>
      <c r="F1296">
        <v>1250</v>
      </c>
      <c r="G1296">
        <v>1250</v>
      </c>
      <c r="H1296">
        <v>1220.4000000000001</v>
      </c>
      <c r="I1296">
        <v>3002</v>
      </c>
      <c r="J1296">
        <v>3762009.16</v>
      </c>
      <c r="K1296" s="13">
        <v>43994</v>
      </c>
      <c r="L1296">
        <v>4</v>
      </c>
      <c r="M1296" t="s">
        <v>3818</v>
      </c>
    </row>
    <row r="1297" spans="1:13" x14ac:dyDescent="0.35">
      <c r="A1297" t="s">
        <v>2149</v>
      </c>
      <c r="B1297" t="s">
        <v>3452</v>
      </c>
      <c r="C1297">
        <v>1191</v>
      </c>
      <c r="D1297">
        <v>1248.79</v>
      </c>
      <c r="E1297">
        <v>1191</v>
      </c>
      <c r="F1297">
        <v>1248.79</v>
      </c>
      <c r="G1297">
        <v>1248.79</v>
      </c>
      <c r="H1297">
        <v>1190</v>
      </c>
      <c r="I1297">
        <v>4</v>
      </c>
      <c r="J1297">
        <v>4850.78</v>
      </c>
      <c r="K1297" s="13">
        <v>43994</v>
      </c>
      <c r="L1297">
        <v>3</v>
      </c>
      <c r="M1297" t="s">
        <v>3819</v>
      </c>
    </row>
    <row r="1298" spans="1:13" x14ac:dyDescent="0.35">
      <c r="A1298" t="s">
        <v>2149</v>
      </c>
      <c r="B1298" t="s">
        <v>3573</v>
      </c>
      <c r="C1298">
        <v>1434.9</v>
      </c>
      <c r="D1298">
        <v>1439</v>
      </c>
      <c r="E1298">
        <v>1426.01</v>
      </c>
      <c r="F1298">
        <v>1433.86</v>
      </c>
      <c r="G1298">
        <v>1431</v>
      </c>
      <c r="H1298">
        <v>1423.55</v>
      </c>
      <c r="I1298">
        <v>2179</v>
      </c>
      <c r="J1298">
        <v>3128676.41</v>
      </c>
      <c r="K1298" s="13">
        <v>43994</v>
      </c>
      <c r="L1298">
        <v>48</v>
      </c>
      <c r="M1298" t="s">
        <v>3820</v>
      </c>
    </row>
    <row r="1299" spans="1:13" x14ac:dyDescent="0.35">
      <c r="A1299" t="s">
        <v>2151</v>
      </c>
      <c r="B1299" t="s">
        <v>18</v>
      </c>
      <c r="C1299">
        <v>3966</v>
      </c>
      <c r="D1299">
        <v>4089.55</v>
      </c>
      <c r="E1299">
        <v>3966</v>
      </c>
      <c r="F1299">
        <v>4064.15</v>
      </c>
      <c r="G1299">
        <v>4060</v>
      </c>
      <c r="H1299">
        <v>4060.7</v>
      </c>
      <c r="I1299">
        <v>49070</v>
      </c>
      <c r="J1299">
        <v>198353264.90000001</v>
      </c>
      <c r="K1299" s="13">
        <v>43994</v>
      </c>
      <c r="L1299">
        <v>9131</v>
      </c>
      <c r="M1299" t="s">
        <v>2152</v>
      </c>
    </row>
    <row r="1300" spans="1:13" x14ac:dyDescent="0.35">
      <c r="A1300" t="s">
        <v>2153</v>
      </c>
      <c r="B1300" t="s">
        <v>18</v>
      </c>
      <c r="C1300">
        <v>26.5</v>
      </c>
      <c r="D1300">
        <v>26.8</v>
      </c>
      <c r="E1300">
        <v>24.1</v>
      </c>
      <c r="F1300">
        <v>26.55</v>
      </c>
      <c r="G1300">
        <v>26.5</v>
      </c>
      <c r="H1300">
        <v>26.8</v>
      </c>
      <c r="I1300">
        <v>103820</v>
      </c>
      <c r="J1300">
        <v>2673342.5499999998</v>
      </c>
      <c r="K1300" s="13">
        <v>43994</v>
      </c>
      <c r="L1300">
        <v>556</v>
      </c>
      <c r="M1300" t="s">
        <v>2154</v>
      </c>
    </row>
    <row r="1301" spans="1:13" x14ac:dyDescent="0.35">
      <c r="A1301" t="s">
        <v>2155</v>
      </c>
      <c r="B1301" t="s">
        <v>18</v>
      </c>
      <c r="C1301">
        <v>10.4</v>
      </c>
      <c r="D1301">
        <v>11.25</v>
      </c>
      <c r="E1301">
        <v>9.9</v>
      </c>
      <c r="F1301">
        <v>11.15</v>
      </c>
      <c r="G1301">
        <v>11.15</v>
      </c>
      <c r="H1301">
        <v>10.85</v>
      </c>
      <c r="I1301">
        <v>1630729</v>
      </c>
      <c r="J1301">
        <v>17355552.75</v>
      </c>
      <c r="K1301" s="13">
        <v>43994</v>
      </c>
      <c r="L1301">
        <v>2405</v>
      </c>
      <c r="M1301" t="s">
        <v>2156</v>
      </c>
    </row>
    <row r="1302" spans="1:13" x14ac:dyDescent="0.35">
      <c r="A1302" t="s">
        <v>2157</v>
      </c>
      <c r="B1302" t="s">
        <v>18</v>
      </c>
      <c r="C1302">
        <v>40.049999999999997</v>
      </c>
      <c r="D1302">
        <v>41</v>
      </c>
      <c r="E1302">
        <v>39</v>
      </c>
      <c r="F1302">
        <v>40.450000000000003</v>
      </c>
      <c r="G1302">
        <v>40.4</v>
      </c>
      <c r="H1302">
        <v>42.65</v>
      </c>
      <c r="I1302">
        <v>27165</v>
      </c>
      <c r="J1302">
        <v>1086011.1499999999</v>
      </c>
      <c r="K1302" s="13">
        <v>43994</v>
      </c>
      <c r="L1302">
        <v>187</v>
      </c>
      <c r="M1302" t="s">
        <v>2158</v>
      </c>
    </row>
    <row r="1303" spans="1:13" x14ac:dyDescent="0.35">
      <c r="A1303" t="s">
        <v>2159</v>
      </c>
      <c r="B1303" t="s">
        <v>18</v>
      </c>
      <c r="C1303">
        <v>9802.0499999999993</v>
      </c>
      <c r="D1303">
        <v>9979</v>
      </c>
      <c r="E1303">
        <v>9800</v>
      </c>
      <c r="F1303">
        <v>9960.4</v>
      </c>
      <c r="G1303">
        <v>9921</v>
      </c>
      <c r="H1303">
        <v>9968.75</v>
      </c>
      <c r="I1303">
        <v>2750</v>
      </c>
      <c r="J1303">
        <v>27150749</v>
      </c>
      <c r="K1303" s="13">
        <v>43994</v>
      </c>
      <c r="L1303">
        <v>1069</v>
      </c>
      <c r="M1303" t="s">
        <v>2160</v>
      </c>
    </row>
    <row r="1304" spans="1:13" x14ac:dyDescent="0.35">
      <c r="A1304" t="s">
        <v>2161</v>
      </c>
      <c r="B1304" t="s">
        <v>18</v>
      </c>
      <c r="C1304">
        <v>4100</v>
      </c>
      <c r="D1304">
        <v>4100</v>
      </c>
      <c r="E1304">
        <v>4025</v>
      </c>
      <c r="F1304">
        <v>4040.9</v>
      </c>
      <c r="G1304">
        <v>4041</v>
      </c>
      <c r="H1304">
        <v>4126.3999999999996</v>
      </c>
      <c r="I1304">
        <v>11034</v>
      </c>
      <c r="J1304">
        <v>44712466.5</v>
      </c>
      <c r="K1304" s="13">
        <v>43994</v>
      </c>
      <c r="L1304">
        <v>2466</v>
      </c>
      <c r="M1304" t="s">
        <v>2162</v>
      </c>
    </row>
    <row r="1305" spans="1:13" x14ac:dyDescent="0.35">
      <c r="A1305" t="s">
        <v>2163</v>
      </c>
      <c r="B1305" t="s">
        <v>18</v>
      </c>
      <c r="C1305">
        <v>102.3</v>
      </c>
      <c r="D1305">
        <v>108</v>
      </c>
      <c r="E1305">
        <v>95.85</v>
      </c>
      <c r="F1305">
        <v>105.05</v>
      </c>
      <c r="G1305">
        <v>108</v>
      </c>
      <c r="H1305">
        <v>102.3</v>
      </c>
      <c r="I1305">
        <v>2661</v>
      </c>
      <c r="J1305">
        <v>276996.90000000002</v>
      </c>
      <c r="K1305" s="13">
        <v>43994</v>
      </c>
      <c r="L1305">
        <v>79</v>
      </c>
      <c r="M1305" t="s">
        <v>2164</v>
      </c>
    </row>
    <row r="1306" spans="1:13" x14ac:dyDescent="0.35">
      <c r="A1306" t="s">
        <v>2165</v>
      </c>
      <c r="B1306" t="s">
        <v>18</v>
      </c>
      <c r="C1306">
        <v>85.3</v>
      </c>
      <c r="D1306">
        <v>89.3</v>
      </c>
      <c r="E1306">
        <v>85.2</v>
      </c>
      <c r="F1306">
        <v>88.65</v>
      </c>
      <c r="G1306">
        <v>88.25</v>
      </c>
      <c r="H1306">
        <v>90.6</v>
      </c>
      <c r="I1306">
        <v>1052516</v>
      </c>
      <c r="J1306">
        <v>91941199.799999997</v>
      </c>
      <c r="K1306" s="13">
        <v>43994</v>
      </c>
      <c r="L1306">
        <v>10095</v>
      </c>
      <c r="M1306" t="s">
        <v>2166</v>
      </c>
    </row>
    <row r="1307" spans="1:13" x14ac:dyDescent="0.35">
      <c r="A1307" t="s">
        <v>2167</v>
      </c>
      <c r="B1307" t="s">
        <v>18</v>
      </c>
      <c r="C1307">
        <v>581</v>
      </c>
      <c r="D1307">
        <v>620</v>
      </c>
      <c r="E1307">
        <v>578.95000000000005</v>
      </c>
      <c r="F1307">
        <v>599.85</v>
      </c>
      <c r="G1307">
        <v>587.95000000000005</v>
      </c>
      <c r="H1307">
        <v>608.9</v>
      </c>
      <c r="I1307">
        <v>233667</v>
      </c>
      <c r="J1307">
        <v>141038086.5</v>
      </c>
      <c r="K1307" s="13">
        <v>43994</v>
      </c>
      <c r="L1307">
        <v>15497</v>
      </c>
      <c r="M1307" t="s">
        <v>2168</v>
      </c>
    </row>
    <row r="1308" spans="1:13" x14ac:dyDescent="0.35">
      <c r="A1308" t="s">
        <v>55</v>
      </c>
      <c r="B1308" t="s">
        <v>18</v>
      </c>
      <c r="C1308">
        <v>1390</v>
      </c>
      <c r="D1308">
        <v>1444</v>
      </c>
      <c r="E1308">
        <v>1384.4</v>
      </c>
      <c r="F1308">
        <v>1430.05</v>
      </c>
      <c r="G1308">
        <v>1442.95</v>
      </c>
      <c r="H1308">
        <v>1417.3</v>
      </c>
      <c r="I1308">
        <v>913916</v>
      </c>
      <c r="J1308">
        <v>1295625630.75</v>
      </c>
      <c r="K1308" s="13">
        <v>43994</v>
      </c>
      <c r="L1308">
        <v>24452</v>
      </c>
      <c r="M1308" t="s">
        <v>2169</v>
      </c>
    </row>
    <row r="1309" spans="1:13" x14ac:dyDescent="0.35">
      <c r="A1309" t="s">
        <v>2170</v>
      </c>
      <c r="B1309" t="s">
        <v>18</v>
      </c>
      <c r="C1309">
        <v>1550</v>
      </c>
      <c r="D1309">
        <v>1618</v>
      </c>
      <c r="E1309">
        <v>1550</v>
      </c>
      <c r="F1309">
        <v>1599.45</v>
      </c>
      <c r="G1309">
        <v>1594.95</v>
      </c>
      <c r="H1309">
        <v>1598.1</v>
      </c>
      <c r="I1309">
        <v>188524</v>
      </c>
      <c r="J1309">
        <v>300032149.39999998</v>
      </c>
      <c r="K1309" s="13">
        <v>43994</v>
      </c>
      <c r="L1309">
        <v>13199</v>
      </c>
      <c r="M1309" t="s">
        <v>2171</v>
      </c>
    </row>
    <row r="1310" spans="1:13" x14ac:dyDescent="0.35">
      <c r="A1310" t="s">
        <v>2172</v>
      </c>
      <c r="B1310" t="s">
        <v>18</v>
      </c>
      <c r="C1310">
        <v>1342.05</v>
      </c>
      <c r="D1310">
        <v>1360</v>
      </c>
      <c r="E1310">
        <v>1321</v>
      </c>
      <c r="F1310">
        <v>1353.65</v>
      </c>
      <c r="G1310">
        <v>1350.55</v>
      </c>
      <c r="H1310">
        <v>1358.6</v>
      </c>
      <c r="I1310">
        <v>172</v>
      </c>
      <c r="J1310">
        <v>231777.25</v>
      </c>
      <c r="K1310" s="13">
        <v>43994</v>
      </c>
      <c r="L1310">
        <v>77</v>
      </c>
      <c r="M1310" t="s">
        <v>2173</v>
      </c>
    </row>
    <row r="1311" spans="1:13" x14ac:dyDescent="0.35">
      <c r="A1311" t="s">
        <v>2174</v>
      </c>
      <c r="B1311" t="s">
        <v>18</v>
      </c>
      <c r="C1311">
        <v>4.3</v>
      </c>
      <c r="D1311">
        <v>4.4000000000000004</v>
      </c>
      <c r="E1311">
        <v>4.1500000000000004</v>
      </c>
      <c r="F1311">
        <v>4.3499999999999996</v>
      </c>
      <c r="G1311">
        <v>4.3499999999999996</v>
      </c>
      <c r="H1311">
        <v>4.4000000000000004</v>
      </c>
      <c r="I1311">
        <v>16259</v>
      </c>
      <c r="J1311">
        <v>70308.399999999994</v>
      </c>
      <c r="K1311" s="13">
        <v>43994</v>
      </c>
      <c r="L1311">
        <v>140</v>
      </c>
      <c r="M1311" t="s">
        <v>2175</v>
      </c>
    </row>
    <row r="1312" spans="1:13" x14ac:dyDescent="0.35">
      <c r="A1312" t="s">
        <v>2176</v>
      </c>
      <c r="B1312" t="s">
        <v>18</v>
      </c>
      <c r="C1312">
        <v>111.1</v>
      </c>
      <c r="D1312">
        <v>121</v>
      </c>
      <c r="E1312">
        <v>108.45</v>
      </c>
      <c r="F1312">
        <v>119.7</v>
      </c>
      <c r="G1312">
        <v>120</v>
      </c>
      <c r="H1312">
        <v>114.15</v>
      </c>
      <c r="I1312">
        <v>8804</v>
      </c>
      <c r="J1312">
        <v>1022667.3</v>
      </c>
      <c r="K1312" s="13">
        <v>43994</v>
      </c>
      <c r="L1312">
        <v>236</v>
      </c>
      <c r="M1312" t="s">
        <v>2177</v>
      </c>
    </row>
    <row r="1313" spans="1:13" x14ac:dyDescent="0.35">
      <c r="A1313" t="s">
        <v>2178</v>
      </c>
      <c r="B1313" t="s">
        <v>18</v>
      </c>
      <c r="C1313">
        <v>20.100000000000001</v>
      </c>
      <c r="D1313">
        <v>21.15</v>
      </c>
      <c r="E1313">
        <v>19.55</v>
      </c>
      <c r="F1313">
        <v>21.15</v>
      </c>
      <c r="G1313">
        <v>21.15</v>
      </c>
      <c r="H1313">
        <v>20.75</v>
      </c>
      <c r="I1313">
        <v>2325</v>
      </c>
      <c r="J1313">
        <v>48022.35</v>
      </c>
      <c r="K1313" s="13">
        <v>43994</v>
      </c>
      <c r="L1313">
        <v>24</v>
      </c>
      <c r="M1313" t="s">
        <v>2179</v>
      </c>
    </row>
    <row r="1314" spans="1:13" x14ac:dyDescent="0.35">
      <c r="A1314" t="s">
        <v>2180</v>
      </c>
      <c r="B1314" t="s">
        <v>18</v>
      </c>
      <c r="C1314">
        <v>26.65</v>
      </c>
      <c r="D1314">
        <v>28.4</v>
      </c>
      <c r="E1314">
        <v>26.3</v>
      </c>
      <c r="F1314">
        <v>27.85</v>
      </c>
      <c r="G1314">
        <v>28.2</v>
      </c>
      <c r="H1314">
        <v>27.95</v>
      </c>
      <c r="I1314">
        <v>11920</v>
      </c>
      <c r="J1314">
        <v>324484.45</v>
      </c>
      <c r="K1314" s="13">
        <v>43994</v>
      </c>
      <c r="L1314">
        <v>182</v>
      </c>
      <c r="M1314" t="s">
        <v>2181</v>
      </c>
    </row>
    <row r="1315" spans="1:13" x14ac:dyDescent="0.35">
      <c r="A1315" t="s">
        <v>3821</v>
      </c>
      <c r="B1315" t="s">
        <v>3391</v>
      </c>
      <c r="C1315">
        <v>91.1</v>
      </c>
      <c r="D1315">
        <v>94</v>
      </c>
      <c r="E1315">
        <v>91.1</v>
      </c>
      <c r="F1315">
        <v>94</v>
      </c>
      <c r="G1315">
        <v>94</v>
      </c>
      <c r="H1315">
        <v>95</v>
      </c>
      <c r="I1315">
        <v>40</v>
      </c>
      <c r="J1315">
        <v>3728.1</v>
      </c>
      <c r="K1315" s="13">
        <v>43994</v>
      </c>
      <c r="L1315">
        <v>3</v>
      </c>
      <c r="M1315" t="s">
        <v>3822</v>
      </c>
    </row>
    <row r="1316" spans="1:13" x14ac:dyDescent="0.35">
      <c r="A1316" t="s">
        <v>2182</v>
      </c>
      <c r="B1316" t="s">
        <v>18</v>
      </c>
      <c r="C1316">
        <v>156</v>
      </c>
      <c r="D1316">
        <v>168.8</v>
      </c>
      <c r="E1316">
        <v>155</v>
      </c>
      <c r="F1316">
        <v>166.1</v>
      </c>
      <c r="G1316">
        <v>166.1</v>
      </c>
      <c r="H1316">
        <v>167.8</v>
      </c>
      <c r="I1316">
        <v>15418</v>
      </c>
      <c r="J1316">
        <v>2500816.7000000002</v>
      </c>
      <c r="K1316" s="13">
        <v>43994</v>
      </c>
      <c r="L1316">
        <v>476</v>
      </c>
      <c r="M1316" t="s">
        <v>2183</v>
      </c>
    </row>
    <row r="1317" spans="1:13" x14ac:dyDescent="0.35">
      <c r="A1317" t="s">
        <v>2184</v>
      </c>
      <c r="B1317" t="s">
        <v>18</v>
      </c>
      <c r="C1317">
        <v>31</v>
      </c>
      <c r="D1317">
        <v>33.200000000000003</v>
      </c>
      <c r="E1317">
        <v>30.9</v>
      </c>
      <c r="F1317">
        <v>33.049999999999997</v>
      </c>
      <c r="G1317">
        <v>33</v>
      </c>
      <c r="H1317">
        <v>32.799999999999997</v>
      </c>
      <c r="I1317">
        <v>51628669</v>
      </c>
      <c r="J1317">
        <v>1659627484.5999999</v>
      </c>
      <c r="K1317" s="13">
        <v>43994</v>
      </c>
      <c r="L1317">
        <v>96015</v>
      </c>
      <c r="M1317" t="s">
        <v>2185</v>
      </c>
    </row>
    <row r="1318" spans="1:13" x14ac:dyDescent="0.35">
      <c r="A1318" t="s">
        <v>2186</v>
      </c>
      <c r="B1318" t="s">
        <v>18</v>
      </c>
      <c r="C1318">
        <v>32.5</v>
      </c>
      <c r="D1318">
        <v>35.5</v>
      </c>
      <c r="E1318">
        <v>32.15</v>
      </c>
      <c r="F1318">
        <v>34.549999999999997</v>
      </c>
      <c r="G1318">
        <v>34.450000000000003</v>
      </c>
      <c r="H1318">
        <v>33.1</v>
      </c>
      <c r="I1318">
        <v>1215664</v>
      </c>
      <c r="J1318">
        <v>41915581.850000001</v>
      </c>
      <c r="K1318" s="13">
        <v>43994</v>
      </c>
      <c r="L1318">
        <v>5156</v>
      </c>
      <c r="M1318" t="s">
        <v>2187</v>
      </c>
    </row>
    <row r="1319" spans="1:13" x14ac:dyDescent="0.35">
      <c r="A1319" t="s">
        <v>2188</v>
      </c>
      <c r="B1319" t="s">
        <v>18</v>
      </c>
      <c r="C1319">
        <v>203</v>
      </c>
      <c r="D1319">
        <v>220.6</v>
      </c>
      <c r="E1319">
        <v>200.1</v>
      </c>
      <c r="F1319">
        <v>220.6</v>
      </c>
      <c r="G1319">
        <v>220.6</v>
      </c>
      <c r="H1319">
        <v>210.1</v>
      </c>
      <c r="I1319">
        <v>860454</v>
      </c>
      <c r="J1319">
        <v>184035039.75</v>
      </c>
      <c r="K1319" s="13">
        <v>43994</v>
      </c>
      <c r="L1319">
        <v>10502</v>
      </c>
      <c r="M1319" t="s">
        <v>2189</v>
      </c>
    </row>
    <row r="1320" spans="1:13" x14ac:dyDescent="0.35">
      <c r="A1320" t="s">
        <v>2190</v>
      </c>
      <c r="B1320" t="s">
        <v>18</v>
      </c>
      <c r="C1320">
        <v>13.15</v>
      </c>
      <c r="D1320">
        <v>15</v>
      </c>
      <c r="E1320">
        <v>12.45</v>
      </c>
      <c r="F1320">
        <v>13.95</v>
      </c>
      <c r="G1320">
        <v>14</v>
      </c>
      <c r="H1320">
        <v>13.85</v>
      </c>
      <c r="I1320">
        <v>9506</v>
      </c>
      <c r="J1320">
        <v>129538.65</v>
      </c>
      <c r="K1320" s="13">
        <v>43994</v>
      </c>
      <c r="L1320">
        <v>64</v>
      </c>
      <c r="M1320" t="s">
        <v>2191</v>
      </c>
    </row>
    <row r="1321" spans="1:13" x14ac:dyDescent="0.35">
      <c r="A1321" t="s">
        <v>2192</v>
      </c>
      <c r="B1321" t="s">
        <v>18</v>
      </c>
      <c r="C1321">
        <v>118.2</v>
      </c>
      <c r="D1321">
        <v>125.95</v>
      </c>
      <c r="E1321">
        <v>118</v>
      </c>
      <c r="F1321">
        <v>125</v>
      </c>
      <c r="G1321">
        <v>125</v>
      </c>
      <c r="H1321">
        <v>126.75</v>
      </c>
      <c r="I1321">
        <v>115797</v>
      </c>
      <c r="J1321">
        <v>14154852.050000001</v>
      </c>
      <c r="K1321" s="13">
        <v>43994</v>
      </c>
      <c r="L1321">
        <v>2782</v>
      </c>
      <c r="M1321" t="s">
        <v>2193</v>
      </c>
    </row>
    <row r="1322" spans="1:13" x14ac:dyDescent="0.35">
      <c r="A1322" t="s">
        <v>2194</v>
      </c>
      <c r="B1322" t="s">
        <v>18</v>
      </c>
      <c r="C1322">
        <v>176.05</v>
      </c>
      <c r="D1322">
        <v>184</v>
      </c>
      <c r="E1322">
        <v>167.65</v>
      </c>
      <c r="F1322">
        <v>179.5</v>
      </c>
      <c r="G1322">
        <v>173.7</v>
      </c>
      <c r="H1322">
        <v>181.65</v>
      </c>
      <c r="I1322">
        <v>673</v>
      </c>
      <c r="J1322">
        <v>118007.5</v>
      </c>
      <c r="K1322" s="13">
        <v>43994</v>
      </c>
      <c r="L1322">
        <v>75</v>
      </c>
      <c r="M1322" t="s">
        <v>2195</v>
      </c>
    </row>
    <row r="1323" spans="1:13" x14ac:dyDescent="0.35">
      <c r="A1323" t="s">
        <v>2196</v>
      </c>
      <c r="B1323" t="s">
        <v>18</v>
      </c>
      <c r="C1323">
        <v>160</v>
      </c>
      <c r="D1323">
        <v>166</v>
      </c>
      <c r="E1323">
        <v>143.94999999999999</v>
      </c>
      <c r="F1323">
        <v>159.15</v>
      </c>
      <c r="G1323">
        <v>157.94999999999999</v>
      </c>
      <c r="H1323">
        <v>164.65</v>
      </c>
      <c r="I1323">
        <v>10120</v>
      </c>
      <c r="J1323">
        <v>1565560.25</v>
      </c>
      <c r="K1323" s="13">
        <v>43994</v>
      </c>
      <c r="L1323">
        <v>484</v>
      </c>
      <c r="M1323" t="s">
        <v>2197</v>
      </c>
    </row>
    <row r="1324" spans="1:13" x14ac:dyDescent="0.35">
      <c r="A1324" t="s">
        <v>3823</v>
      </c>
      <c r="B1324" t="s">
        <v>3391</v>
      </c>
      <c r="C1324">
        <v>104.15</v>
      </c>
      <c r="D1324">
        <v>106.9</v>
      </c>
      <c r="E1324">
        <v>104</v>
      </c>
      <c r="F1324">
        <v>104.4</v>
      </c>
      <c r="G1324">
        <v>104</v>
      </c>
      <c r="H1324">
        <v>107.85</v>
      </c>
      <c r="I1324">
        <v>13675</v>
      </c>
      <c r="J1324">
        <v>1428600.6</v>
      </c>
      <c r="K1324" s="13">
        <v>43994</v>
      </c>
      <c r="L1324">
        <v>91</v>
      </c>
      <c r="M1324" t="s">
        <v>3824</v>
      </c>
    </row>
    <row r="1325" spans="1:13" x14ac:dyDescent="0.35">
      <c r="A1325" t="s">
        <v>2198</v>
      </c>
      <c r="B1325" t="s">
        <v>18</v>
      </c>
      <c r="C1325">
        <v>705.1</v>
      </c>
      <c r="D1325">
        <v>755</v>
      </c>
      <c r="E1325">
        <v>705.1</v>
      </c>
      <c r="F1325">
        <v>746.25</v>
      </c>
      <c r="G1325">
        <v>745.8</v>
      </c>
      <c r="H1325">
        <v>741.65</v>
      </c>
      <c r="I1325">
        <v>285909</v>
      </c>
      <c r="J1325">
        <v>208702492.09999999</v>
      </c>
      <c r="K1325" s="13">
        <v>43994</v>
      </c>
      <c r="L1325">
        <v>14078</v>
      </c>
      <c r="M1325" t="s">
        <v>2199</v>
      </c>
    </row>
    <row r="1326" spans="1:13" x14ac:dyDescent="0.35">
      <c r="A1326" t="s">
        <v>2200</v>
      </c>
      <c r="B1326" t="s">
        <v>18</v>
      </c>
      <c r="C1326">
        <v>276.10000000000002</v>
      </c>
      <c r="D1326">
        <v>295</v>
      </c>
      <c r="E1326">
        <v>273.8</v>
      </c>
      <c r="F1326">
        <v>290.8</v>
      </c>
      <c r="G1326">
        <v>290.05</v>
      </c>
      <c r="H1326">
        <v>289.60000000000002</v>
      </c>
      <c r="I1326">
        <v>72551</v>
      </c>
      <c r="J1326">
        <v>20804451.800000001</v>
      </c>
      <c r="K1326" s="13">
        <v>43994</v>
      </c>
      <c r="L1326">
        <v>3308</v>
      </c>
      <c r="M1326" t="s">
        <v>2201</v>
      </c>
    </row>
    <row r="1327" spans="1:13" x14ac:dyDescent="0.35">
      <c r="A1327" t="s">
        <v>2202</v>
      </c>
      <c r="B1327" t="s">
        <v>18</v>
      </c>
      <c r="C1327">
        <v>416.75</v>
      </c>
      <c r="D1327">
        <v>438</v>
      </c>
      <c r="E1327">
        <v>416.75</v>
      </c>
      <c r="F1327">
        <v>435.7</v>
      </c>
      <c r="G1327">
        <v>436.05</v>
      </c>
      <c r="H1327">
        <v>432.05</v>
      </c>
      <c r="I1327">
        <v>49149</v>
      </c>
      <c r="J1327">
        <v>21139162.050000001</v>
      </c>
      <c r="K1327" s="13">
        <v>43994</v>
      </c>
      <c r="L1327">
        <v>1769</v>
      </c>
      <c r="M1327" t="s">
        <v>2203</v>
      </c>
    </row>
    <row r="1328" spans="1:13" x14ac:dyDescent="0.35">
      <c r="A1328" t="s">
        <v>2204</v>
      </c>
      <c r="B1328" t="s">
        <v>18</v>
      </c>
      <c r="C1328">
        <v>149</v>
      </c>
      <c r="D1328">
        <v>159</v>
      </c>
      <c r="E1328">
        <v>140</v>
      </c>
      <c r="F1328">
        <v>154.4</v>
      </c>
      <c r="G1328">
        <v>155</v>
      </c>
      <c r="H1328">
        <v>153.19999999999999</v>
      </c>
      <c r="I1328">
        <v>9384</v>
      </c>
      <c r="J1328">
        <v>1403335.35</v>
      </c>
      <c r="K1328" s="13">
        <v>43994</v>
      </c>
      <c r="L1328">
        <v>312</v>
      </c>
      <c r="M1328" t="s">
        <v>2205</v>
      </c>
    </row>
    <row r="1329" spans="1:13" x14ac:dyDescent="0.35">
      <c r="A1329" t="s">
        <v>2206</v>
      </c>
      <c r="B1329" t="s">
        <v>18</v>
      </c>
      <c r="C1329">
        <v>166.05</v>
      </c>
      <c r="D1329">
        <v>169.4</v>
      </c>
      <c r="E1329">
        <v>165.6</v>
      </c>
      <c r="F1329">
        <v>166.3</v>
      </c>
      <c r="G1329">
        <v>166</v>
      </c>
      <c r="H1329">
        <v>171</v>
      </c>
      <c r="I1329">
        <v>11437763</v>
      </c>
      <c r="J1329">
        <v>1911658233.0999999</v>
      </c>
      <c r="K1329" s="13">
        <v>43994</v>
      </c>
      <c r="L1329">
        <v>41100</v>
      </c>
      <c r="M1329" t="s">
        <v>2207</v>
      </c>
    </row>
    <row r="1330" spans="1:13" x14ac:dyDescent="0.35">
      <c r="A1330" t="s">
        <v>2208</v>
      </c>
      <c r="B1330" t="s">
        <v>18</v>
      </c>
      <c r="C1330">
        <v>836.2</v>
      </c>
      <c r="D1330">
        <v>841.85</v>
      </c>
      <c r="E1330">
        <v>836.1</v>
      </c>
      <c r="F1330">
        <v>838.55</v>
      </c>
      <c r="G1330">
        <v>838.5</v>
      </c>
      <c r="H1330">
        <v>839.55</v>
      </c>
      <c r="I1330">
        <v>16963</v>
      </c>
      <c r="J1330">
        <v>14206009.4</v>
      </c>
      <c r="K1330" s="13">
        <v>43994</v>
      </c>
      <c r="L1330">
        <v>1239</v>
      </c>
      <c r="M1330" t="s">
        <v>2209</v>
      </c>
    </row>
    <row r="1331" spans="1:13" x14ac:dyDescent="0.35">
      <c r="A1331" t="s">
        <v>2210</v>
      </c>
      <c r="B1331" t="s">
        <v>18</v>
      </c>
      <c r="C1331">
        <v>361</v>
      </c>
      <c r="D1331">
        <v>384</v>
      </c>
      <c r="E1331">
        <v>361</v>
      </c>
      <c r="F1331">
        <v>377.25</v>
      </c>
      <c r="G1331">
        <v>376</v>
      </c>
      <c r="H1331">
        <v>382.6</v>
      </c>
      <c r="I1331">
        <v>12242</v>
      </c>
      <c r="J1331">
        <v>4554346.9000000004</v>
      </c>
      <c r="K1331" s="13">
        <v>43994</v>
      </c>
      <c r="L1331">
        <v>739</v>
      </c>
      <c r="M1331" t="s">
        <v>2211</v>
      </c>
    </row>
    <row r="1332" spans="1:13" x14ac:dyDescent="0.35">
      <c r="A1332" t="s">
        <v>2212</v>
      </c>
      <c r="B1332" t="s">
        <v>18</v>
      </c>
      <c r="C1332">
        <v>164.8</v>
      </c>
      <c r="D1332">
        <v>182</v>
      </c>
      <c r="E1332">
        <v>163</v>
      </c>
      <c r="F1332">
        <v>178.2</v>
      </c>
      <c r="G1332">
        <v>174</v>
      </c>
      <c r="H1332">
        <v>173.9</v>
      </c>
      <c r="I1332">
        <v>11767</v>
      </c>
      <c r="J1332">
        <v>2045334.55</v>
      </c>
      <c r="K1332" s="13">
        <v>43994</v>
      </c>
      <c r="L1332">
        <v>635</v>
      </c>
      <c r="M1332" t="s">
        <v>2213</v>
      </c>
    </row>
    <row r="1333" spans="1:13" x14ac:dyDescent="0.35">
      <c r="A1333" t="s">
        <v>2214</v>
      </c>
      <c r="B1333" t="s">
        <v>18</v>
      </c>
      <c r="C1333">
        <v>45.6</v>
      </c>
      <c r="D1333">
        <v>48.7</v>
      </c>
      <c r="E1333">
        <v>45.6</v>
      </c>
      <c r="F1333">
        <v>48.2</v>
      </c>
      <c r="G1333">
        <v>48</v>
      </c>
      <c r="H1333">
        <v>47.95</v>
      </c>
      <c r="I1333">
        <v>78588</v>
      </c>
      <c r="J1333">
        <v>3650448.8</v>
      </c>
      <c r="K1333" s="13">
        <v>43994</v>
      </c>
      <c r="L1333">
        <v>492</v>
      </c>
      <c r="M1333" t="s">
        <v>2215</v>
      </c>
    </row>
    <row r="1334" spans="1:13" x14ac:dyDescent="0.35">
      <c r="A1334" t="s">
        <v>2216</v>
      </c>
      <c r="B1334" t="s">
        <v>18</v>
      </c>
      <c r="C1334">
        <v>66.55</v>
      </c>
      <c r="D1334">
        <v>68.45</v>
      </c>
      <c r="E1334">
        <v>66.3</v>
      </c>
      <c r="F1334">
        <v>68.150000000000006</v>
      </c>
      <c r="G1334">
        <v>67.75</v>
      </c>
      <c r="H1334">
        <v>68.2</v>
      </c>
      <c r="I1334">
        <v>8289</v>
      </c>
      <c r="J1334">
        <v>558849.55000000005</v>
      </c>
      <c r="K1334" s="13">
        <v>43994</v>
      </c>
      <c r="L1334">
        <v>142</v>
      </c>
      <c r="M1334" t="s">
        <v>2217</v>
      </c>
    </row>
    <row r="1335" spans="1:13" x14ac:dyDescent="0.35">
      <c r="A1335" t="s">
        <v>2218</v>
      </c>
      <c r="B1335" t="s">
        <v>18</v>
      </c>
      <c r="C1335">
        <v>0.7</v>
      </c>
      <c r="D1335">
        <v>0.7</v>
      </c>
      <c r="E1335">
        <v>0.7</v>
      </c>
      <c r="F1335">
        <v>0.7</v>
      </c>
      <c r="G1335">
        <v>0.7</v>
      </c>
      <c r="H1335">
        <v>0.65</v>
      </c>
      <c r="I1335">
        <v>19868</v>
      </c>
      <c r="J1335">
        <v>13907.6</v>
      </c>
      <c r="K1335" s="13">
        <v>43994</v>
      </c>
      <c r="L1335">
        <v>15</v>
      </c>
      <c r="M1335" t="s">
        <v>2219</v>
      </c>
    </row>
    <row r="1336" spans="1:13" x14ac:dyDescent="0.35">
      <c r="A1336" t="s">
        <v>2220</v>
      </c>
      <c r="B1336" t="s">
        <v>18</v>
      </c>
      <c r="C1336">
        <v>6.15</v>
      </c>
      <c r="D1336">
        <v>6.25</v>
      </c>
      <c r="E1336">
        <v>5.85</v>
      </c>
      <c r="F1336">
        <v>6.1</v>
      </c>
      <c r="G1336">
        <v>6.25</v>
      </c>
      <c r="H1336">
        <v>6.15</v>
      </c>
      <c r="I1336">
        <v>6604</v>
      </c>
      <c r="J1336">
        <v>39995.9</v>
      </c>
      <c r="K1336" s="13">
        <v>43994</v>
      </c>
      <c r="L1336">
        <v>48</v>
      </c>
      <c r="M1336" t="s">
        <v>2221</v>
      </c>
    </row>
    <row r="1337" spans="1:13" x14ac:dyDescent="0.35">
      <c r="A1337" t="s">
        <v>2222</v>
      </c>
      <c r="B1337" t="s">
        <v>18</v>
      </c>
      <c r="C1337">
        <v>66.2</v>
      </c>
      <c r="D1337">
        <v>68.150000000000006</v>
      </c>
      <c r="E1337">
        <v>66.2</v>
      </c>
      <c r="F1337">
        <v>67.5</v>
      </c>
      <c r="G1337">
        <v>67.45</v>
      </c>
      <c r="H1337">
        <v>70.5</v>
      </c>
      <c r="I1337">
        <v>2059999</v>
      </c>
      <c r="J1337">
        <v>138907892.09999999</v>
      </c>
      <c r="K1337" s="13">
        <v>43994</v>
      </c>
      <c r="L1337">
        <v>10804</v>
      </c>
      <c r="M1337" t="s">
        <v>2223</v>
      </c>
    </row>
    <row r="1338" spans="1:13" x14ac:dyDescent="0.35">
      <c r="A1338" t="s">
        <v>2224</v>
      </c>
      <c r="B1338" t="s">
        <v>18</v>
      </c>
      <c r="C1338">
        <v>32</v>
      </c>
      <c r="D1338">
        <v>35.5</v>
      </c>
      <c r="E1338">
        <v>31.7</v>
      </c>
      <c r="F1338">
        <v>35.299999999999997</v>
      </c>
      <c r="G1338">
        <v>35.450000000000003</v>
      </c>
      <c r="H1338">
        <v>35.35</v>
      </c>
      <c r="I1338">
        <v>742210</v>
      </c>
      <c r="J1338">
        <v>25317062.550000001</v>
      </c>
      <c r="K1338" s="13">
        <v>43994</v>
      </c>
      <c r="L1338">
        <v>3647</v>
      </c>
      <c r="M1338" t="s">
        <v>2225</v>
      </c>
    </row>
    <row r="1339" spans="1:13" x14ac:dyDescent="0.35">
      <c r="A1339" t="s">
        <v>3825</v>
      </c>
      <c r="B1339" t="s">
        <v>3391</v>
      </c>
      <c r="C1339">
        <v>1.35</v>
      </c>
      <c r="D1339">
        <v>1.35</v>
      </c>
      <c r="E1339">
        <v>1.35</v>
      </c>
      <c r="F1339">
        <v>1.35</v>
      </c>
      <c r="G1339">
        <v>1.35</v>
      </c>
      <c r="H1339">
        <v>1.3</v>
      </c>
      <c r="I1339">
        <v>920696</v>
      </c>
      <c r="J1339">
        <v>1242939.6000000001</v>
      </c>
      <c r="K1339" s="13">
        <v>43994</v>
      </c>
      <c r="L1339">
        <v>318</v>
      </c>
      <c r="M1339" t="s">
        <v>3826</v>
      </c>
    </row>
    <row r="1340" spans="1:13" x14ac:dyDescent="0.35">
      <c r="A1340" t="s">
        <v>2226</v>
      </c>
      <c r="B1340" t="s">
        <v>18</v>
      </c>
      <c r="C1340">
        <v>28.95</v>
      </c>
      <c r="D1340">
        <v>28.95</v>
      </c>
      <c r="E1340">
        <v>26.5</v>
      </c>
      <c r="F1340">
        <v>27.3</v>
      </c>
      <c r="G1340">
        <v>27.25</v>
      </c>
      <c r="H1340">
        <v>27.7</v>
      </c>
      <c r="I1340">
        <v>24450</v>
      </c>
      <c r="J1340">
        <v>664066</v>
      </c>
      <c r="K1340" s="13">
        <v>43994</v>
      </c>
      <c r="L1340">
        <v>211</v>
      </c>
      <c r="M1340" t="s">
        <v>2227</v>
      </c>
    </row>
    <row r="1341" spans="1:13" x14ac:dyDescent="0.35">
      <c r="A1341" t="s">
        <v>2228</v>
      </c>
      <c r="B1341" t="s">
        <v>18</v>
      </c>
      <c r="C1341">
        <v>25</v>
      </c>
      <c r="D1341">
        <v>27</v>
      </c>
      <c r="E1341">
        <v>24.8</v>
      </c>
      <c r="F1341">
        <v>26.1</v>
      </c>
      <c r="G1341">
        <v>26.45</v>
      </c>
      <c r="H1341">
        <v>25.8</v>
      </c>
      <c r="I1341">
        <v>169792</v>
      </c>
      <c r="J1341">
        <v>4425646.0999999996</v>
      </c>
      <c r="K1341" s="13">
        <v>43994</v>
      </c>
      <c r="L1341">
        <v>1883</v>
      </c>
      <c r="M1341" t="s">
        <v>2229</v>
      </c>
    </row>
    <row r="1342" spans="1:13" x14ac:dyDescent="0.35">
      <c r="A1342" t="s">
        <v>2230</v>
      </c>
      <c r="B1342" t="s">
        <v>18</v>
      </c>
      <c r="C1342">
        <v>22.2</v>
      </c>
      <c r="D1342">
        <v>23.6</v>
      </c>
      <c r="E1342">
        <v>22.2</v>
      </c>
      <c r="F1342">
        <v>22.9</v>
      </c>
      <c r="G1342">
        <v>23.6</v>
      </c>
      <c r="H1342">
        <v>22.2</v>
      </c>
      <c r="I1342">
        <v>699</v>
      </c>
      <c r="J1342">
        <v>15815.25</v>
      </c>
      <c r="K1342" s="13">
        <v>43994</v>
      </c>
      <c r="L1342">
        <v>7</v>
      </c>
      <c r="M1342" t="s">
        <v>2231</v>
      </c>
    </row>
    <row r="1343" spans="1:13" x14ac:dyDescent="0.35">
      <c r="A1343" t="s">
        <v>2232</v>
      </c>
      <c r="B1343" t="s">
        <v>18</v>
      </c>
      <c r="C1343">
        <v>92</v>
      </c>
      <c r="D1343">
        <v>96</v>
      </c>
      <c r="E1343">
        <v>92</v>
      </c>
      <c r="F1343">
        <v>95.9</v>
      </c>
      <c r="G1343">
        <v>96</v>
      </c>
      <c r="H1343">
        <v>96.8</v>
      </c>
      <c r="I1343">
        <v>23856</v>
      </c>
      <c r="J1343">
        <v>2261192.5</v>
      </c>
      <c r="K1343" s="13">
        <v>43994</v>
      </c>
      <c r="L1343">
        <v>487</v>
      </c>
      <c r="M1343" t="s">
        <v>2233</v>
      </c>
    </row>
    <row r="1344" spans="1:13" x14ac:dyDescent="0.35">
      <c r="A1344" t="s">
        <v>2234</v>
      </c>
      <c r="B1344" t="s">
        <v>18</v>
      </c>
      <c r="C1344">
        <v>70.05</v>
      </c>
      <c r="D1344">
        <v>72.95</v>
      </c>
      <c r="E1344">
        <v>70</v>
      </c>
      <c r="F1344">
        <v>72.150000000000006</v>
      </c>
      <c r="G1344">
        <v>71.25</v>
      </c>
      <c r="H1344">
        <v>73.099999999999994</v>
      </c>
      <c r="I1344">
        <v>21396</v>
      </c>
      <c r="J1344">
        <v>1536897</v>
      </c>
      <c r="K1344" s="13">
        <v>43994</v>
      </c>
      <c r="L1344">
        <v>261</v>
      </c>
      <c r="M1344" t="s">
        <v>2235</v>
      </c>
    </row>
    <row r="1345" spans="1:13" x14ac:dyDescent="0.35">
      <c r="A1345" t="s">
        <v>2236</v>
      </c>
      <c r="B1345" t="s">
        <v>18</v>
      </c>
      <c r="C1345">
        <v>20.2</v>
      </c>
      <c r="D1345">
        <v>20.95</v>
      </c>
      <c r="E1345">
        <v>19.3</v>
      </c>
      <c r="F1345">
        <v>20.75</v>
      </c>
      <c r="G1345">
        <v>20.95</v>
      </c>
      <c r="H1345">
        <v>20.6</v>
      </c>
      <c r="I1345">
        <v>1284</v>
      </c>
      <c r="J1345">
        <v>25617.65</v>
      </c>
      <c r="K1345" s="13">
        <v>43994</v>
      </c>
      <c r="L1345">
        <v>45</v>
      </c>
      <c r="M1345" t="s">
        <v>2237</v>
      </c>
    </row>
    <row r="1346" spans="1:13" x14ac:dyDescent="0.35">
      <c r="A1346" t="s">
        <v>2238</v>
      </c>
      <c r="B1346" t="s">
        <v>18</v>
      </c>
      <c r="C1346">
        <v>17.2</v>
      </c>
      <c r="D1346">
        <v>18.55</v>
      </c>
      <c r="E1346">
        <v>16.5</v>
      </c>
      <c r="F1346">
        <v>17.600000000000001</v>
      </c>
      <c r="G1346">
        <v>17.95</v>
      </c>
      <c r="H1346">
        <v>18.05</v>
      </c>
      <c r="I1346">
        <v>2998</v>
      </c>
      <c r="J1346">
        <v>52599.6</v>
      </c>
      <c r="K1346" s="13">
        <v>43994</v>
      </c>
      <c r="L1346">
        <v>62</v>
      </c>
      <c r="M1346" t="s">
        <v>2239</v>
      </c>
    </row>
    <row r="1347" spans="1:13" x14ac:dyDescent="0.35">
      <c r="A1347" t="s">
        <v>2240</v>
      </c>
      <c r="B1347" t="s">
        <v>18</v>
      </c>
      <c r="C1347">
        <v>180</v>
      </c>
      <c r="D1347">
        <v>206.9</v>
      </c>
      <c r="E1347">
        <v>178</v>
      </c>
      <c r="F1347">
        <v>200.9</v>
      </c>
      <c r="G1347">
        <v>201.25</v>
      </c>
      <c r="H1347">
        <v>190.6</v>
      </c>
      <c r="I1347">
        <v>1439591</v>
      </c>
      <c r="J1347">
        <v>281916160.39999998</v>
      </c>
      <c r="K1347" s="13">
        <v>43994</v>
      </c>
      <c r="L1347">
        <v>25795</v>
      </c>
      <c r="M1347" t="s">
        <v>2241</v>
      </c>
    </row>
    <row r="1348" spans="1:13" x14ac:dyDescent="0.35">
      <c r="A1348" t="s">
        <v>2242</v>
      </c>
      <c r="B1348" t="s">
        <v>18</v>
      </c>
      <c r="C1348">
        <v>39.9</v>
      </c>
      <c r="D1348">
        <v>40.450000000000003</v>
      </c>
      <c r="E1348">
        <v>37.049999999999997</v>
      </c>
      <c r="F1348">
        <v>39.65</v>
      </c>
      <c r="G1348">
        <v>39.5</v>
      </c>
      <c r="H1348">
        <v>40.549999999999997</v>
      </c>
      <c r="I1348">
        <v>35351</v>
      </c>
      <c r="J1348">
        <v>1381759.8</v>
      </c>
      <c r="K1348" s="13">
        <v>43994</v>
      </c>
      <c r="L1348">
        <v>555</v>
      </c>
      <c r="M1348" t="s">
        <v>2243</v>
      </c>
    </row>
    <row r="1349" spans="1:13" x14ac:dyDescent="0.35">
      <c r="A1349" t="s">
        <v>2244</v>
      </c>
      <c r="B1349" t="s">
        <v>18</v>
      </c>
      <c r="C1349">
        <v>33.1</v>
      </c>
      <c r="D1349">
        <v>36.049999999999997</v>
      </c>
      <c r="E1349">
        <v>33.049999999999997</v>
      </c>
      <c r="F1349">
        <v>35.450000000000003</v>
      </c>
      <c r="G1349">
        <v>36</v>
      </c>
      <c r="H1349">
        <v>34.5</v>
      </c>
      <c r="I1349">
        <v>7280</v>
      </c>
      <c r="J1349">
        <v>253883.6</v>
      </c>
      <c r="K1349" s="13">
        <v>43994</v>
      </c>
      <c r="L1349">
        <v>157</v>
      </c>
      <c r="M1349" t="s">
        <v>2245</v>
      </c>
    </row>
    <row r="1350" spans="1:13" x14ac:dyDescent="0.35">
      <c r="A1350" t="s">
        <v>2246</v>
      </c>
      <c r="B1350" t="s">
        <v>18</v>
      </c>
      <c r="C1350">
        <v>96.85</v>
      </c>
      <c r="D1350">
        <v>106</v>
      </c>
      <c r="E1350">
        <v>96.85</v>
      </c>
      <c r="F1350">
        <v>99.7</v>
      </c>
      <c r="G1350">
        <v>99</v>
      </c>
      <c r="H1350">
        <v>101.9</v>
      </c>
      <c r="I1350">
        <v>870364</v>
      </c>
      <c r="J1350">
        <v>86952714.299999997</v>
      </c>
      <c r="K1350" s="13">
        <v>43994</v>
      </c>
      <c r="L1350">
        <v>6815</v>
      </c>
      <c r="M1350" t="s">
        <v>2247</v>
      </c>
    </row>
    <row r="1351" spans="1:13" x14ac:dyDescent="0.35">
      <c r="A1351" t="s">
        <v>2248</v>
      </c>
      <c r="B1351" t="s">
        <v>18</v>
      </c>
      <c r="C1351">
        <v>0.3</v>
      </c>
      <c r="D1351">
        <v>0.3</v>
      </c>
      <c r="E1351">
        <v>0.3</v>
      </c>
      <c r="F1351">
        <v>0.3</v>
      </c>
      <c r="G1351">
        <v>0.3</v>
      </c>
      <c r="H1351">
        <v>0.3</v>
      </c>
      <c r="I1351">
        <v>4801</v>
      </c>
      <c r="J1351">
        <v>1440.3</v>
      </c>
      <c r="K1351" s="13">
        <v>43994</v>
      </c>
      <c r="L1351">
        <v>11</v>
      </c>
      <c r="M1351" t="s">
        <v>2249</v>
      </c>
    </row>
    <row r="1352" spans="1:13" x14ac:dyDescent="0.35">
      <c r="A1352" t="s">
        <v>2250</v>
      </c>
      <c r="B1352" t="s">
        <v>18</v>
      </c>
      <c r="C1352">
        <v>20.85</v>
      </c>
      <c r="D1352">
        <v>20.85</v>
      </c>
      <c r="E1352">
        <v>20.85</v>
      </c>
      <c r="F1352">
        <v>20.85</v>
      </c>
      <c r="G1352">
        <v>20.85</v>
      </c>
      <c r="H1352">
        <v>21.9</v>
      </c>
      <c r="I1352">
        <v>64937</v>
      </c>
      <c r="J1352">
        <v>1353936.45</v>
      </c>
      <c r="K1352" s="13">
        <v>43994</v>
      </c>
      <c r="L1352">
        <v>502</v>
      </c>
      <c r="M1352" t="s">
        <v>2251</v>
      </c>
    </row>
    <row r="1353" spans="1:13" x14ac:dyDescent="0.35">
      <c r="A1353" t="s">
        <v>2252</v>
      </c>
      <c r="B1353" t="s">
        <v>18</v>
      </c>
      <c r="C1353">
        <v>39.5</v>
      </c>
      <c r="D1353">
        <v>42.85</v>
      </c>
      <c r="E1353">
        <v>38.5</v>
      </c>
      <c r="F1353">
        <v>42.2</v>
      </c>
      <c r="G1353">
        <v>42</v>
      </c>
      <c r="H1353">
        <v>40.950000000000003</v>
      </c>
      <c r="I1353">
        <v>272633</v>
      </c>
      <c r="J1353">
        <v>11246362.15</v>
      </c>
      <c r="K1353" s="13">
        <v>43994</v>
      </c>
      <c r="L1353">
        <v>2197</v>
      </c>
      <c r="M1353" t="s">
        <v>2253</v>
      </c>
    </row>
    <row r="1354" spans="1:13" x14ac:dyDescent="0.35">
      <c r="A1354" t="s">
        <v>2254</v>
      </c>
      <c r="B1354" t="s">
        <v>18</v>
      </c>
      <c r="C1354">
        <v>15.7</v>
      </c>
      <c r="D1354">
        <v>16.8</v>
      </c>
      <c r="E1354">
        <v>15.7</v>
      </c>
      <c r="F1354">
        <v>16.5</v>
      </c>
      <c r="G1354">
        <v>16.8</v>
      </c>
      <c r="H1354">
        <v>16.5</v>
      </c>
      <c r="I1354">
        <v>342514</v>
      </c>
      <c r="J1354">
        <v>5491333.5499999998</v>
      </c>
      <c r="K1354" s="13">
        <v>43994</v>
      </c>
      <c r="L1354">
        <v>817</v>
      </c>
      <c r="M1354" t="s">
        <v>2255</v>
      </c>
    </row>
    <row r="1355" spans="1:13" x14ac:dyDescent="0.35">
      <c r="A1355" t="s">
        <v>2256</v>
      </c>
      <c r="B1355" t="s">
        <v>18</v>
      </c>
      <c r="C1355">
        <v>374</v>
      </c>
      <c r="D1355">
        <v>377.7</v>
      </c>
      <c r="E1355">
        <v>365</v>
      </c>
      <c r="F1355">
        <v>373.65</v>
      </c>
      <c r="G1355">
        <v>371</v>
      </c>
      <c r="H1355">
        <v>381.6</v>
      </c>
      <c r="I1355">
        <v>16463</v>
      </c>
      <c r="J1355">
        <v>6124366.2999999998</v>
      </c>
      <c r="K1355" s="13">
        <v>43994</v>
      </c>
      <c r="L1355">
        <v>976</v>
      </c>
      <c r="M1355" t="s">
        <v>2257</v>
      </c>
    </row>
    <row r="1356" spans="1:13" x14ac:dyDescent="0.35">
      <c r="A1356" t="s">
        <v>2258</v>
      </c>
      <c r="B1356" t="s">
        <v>18</v>
      </c>
      <c r="C1356">
        <v>14.8</v>
      </c>
      <c r="D1356">
        <v>14.9</v>
      </c>
      <c r="E1356">
        <v>13.4</v>
      </c>
      <c r="F1356">
        <v>14.81</v>
      </c>
      <c r="G1356">
        <v>14.75</v>
      </c>
      <c r="H1356">
        <v>14.8</v>
      </c>
      <c r="I1356">
        <v>456679</v>
      </c>
      <c r="J1356">
        <v>6521952.9000000004</v>
      </c>
      <c r="K1356" s="13">
        <v>43994</v>
      </c>
      <c r="L1356">
        <v>736</v>
      </c>
      <c r="M1356" t="s">
        <v>2259</v>
      </c>
    </row>
    <row r="1357" spans="1:13" x14ac:dyDescent="0.35">
      <c r="A1357" t="s">
        <v>2260</v>
      </c>
      <c r="B1357" t="s">
        <v>18</v>
      </c>
      <c r="C1357">
        <v>36.950000000000003</v>
      </c>
      <c r="D1357">
        <v>38.450000000000003</v>
      </c>
      <c r="E1357">
        <v>35.700000000000003</v>
      </c>
      <c r="F1357">
        <v>38.200000000000003</v>
      </c>
      <c r="G1357">
        <v>38.35</v>
      </c>
      <c r="H1357">
        <v>37.5</v>
      </c>
      <c r="I1357">
        <v>2356326</v>
      </c>
      <c r="J1357">
        <v>87637671.900000006</v>
      </c>
      <c r="K1357" s="13">
        <v>43994</v>
      </c>
      <c r="L1357">
        <v>5938</v>
      </c>
      <c r="M1357" t="s">
        <v>2261</v>
      </c>
    </row>
    <row r="1358" spans="1:13" x14ac:dyDescent="0.35">
      <c r="A1358" t="s">
        <v>2262</v>
      </c>
      <c r="B1358" t="s">
        <v>18</v>
      </c>
      <c r="C1358">
        <v>30.5</v>
      </c>
      <c r="D1358">
        <v>31.75</v>
      </c>
      <c r="E1358">
        <v>30</v>
      </c>
      <c r="F1358">
        <v>31.45</v>
      </c>
      <c r="G1358">
        <v>31.1</v>
      </c>
      <c r="H1358">
        <v>31.05</v>
      </c>
      <c r="I1358">
        <v>11831</v>
      </c>
      <c r="J1358">
        <v>363821.95</v>
      </c>
      <c r="K1358" s="13">
        <v>43994</v>
      </c>
      <c r="L1358">
        <v>137</v>
      </c>
      <c r="M1358" t="s">
        <v>2263</v>
      </c>
    </row>
    <row r="1359" spans="1:13" x14ac:dyDescent="0.35">
      <c r="A1359" t="s">
        <v>3827</v>
      </c>
      <c r="B1359" t="s">
        <v>3381</v>
      </c>
      <c r="C1359">
        <v>12.3</v>
      </c>
      <c r="D1359">
        <v>12.3</v>
      </c>
      <c r="E1359">
        <v>12</v>
      </c>
      <c r="F1359">
        <v>12</v>
      </c>
      <c r="G1359">
        <v>12</v>
      </c>
      <c r="H1359">
        <v>11.75</v>
      </c>
      <c r="I1359">
        <v>12000</v>
      </c>
      <c r="J1359">
        <v>146400</v>
      </c>
      <c r="K1359" s="13">
        <v>43994</v>
      </c>
      <c r="L1359">
        <v>3</v>
      </c>
      <c r="M1359" t="s">
        <v>3828</v>
      </c>
    </row>
    <row r="1360" spans="1:13" x14ac:dyDescent="0.35">
      <c r="A1360" t="s">
        <v>2264</v>
      </c>
      <c r="B1360" t="s">
        <v>18</v>
      </c>
      <c r="C1360">
        <v>420.15</v>
      </c>
      <c r="D1360">
        <v>439.8</v>
      </c>
      <c r="E1360">
        <v>420.15</v>
      </c>
      <c r="F1360">
        <v>435.95</v>
      </c>
      <c r="G1360">
        <v>435.4</v>
      </c>
      <c r="H1360">
        <v>431.95</v>
      </c>
      <c r="I1360">
        <v>3232</v>
      </c>
      <c r="J1360">
        <v>1400313.4</v>
      </c>
      <c r="K1360" s="13">
        <v>43994</v>
      </c>
      <c r="L1360">
        <v>241</v>
      </c>
      <c r="M1360" t="s">
        <v>2265</v>
      </c>
    </row>
    <row r="1361" spans="1:13" x14ac:dyDescent="0.35">
      <c r="A1361" t="s">
        <v>3829</v>
      </c>
      <c r="B1361" t="s">
        <v>3414</v>
      </c>
      <c r="C1361">
        <v>1.5</v>
      </c>
      <c r="D1361">
        <v>1.5</v>
      </c>
      <c r="E1361">
        <v>1.45</v>
      </c>
      <c r="F1361">
        <v>1.5</v>
      </c>
      <c r="G1361">
        <v>1.5</v>
      </c>
      <c r="H1361">
        <v>1.45</v>
      </c>
      <c r="I1361">
        <v>706183</v>
      </c>
      <c r="J1361">
        <v>1057444.05</v>
      </c>
      <c r="K1361" s="13">
        <v>43994</v>
      </c>
      <c r="L1361">
        <v>219</v>
      </c>
      <c r="M1361" t="s">
        <v>3830</v>
      </c>
    </row>
    <row r="1362" spans="1:13" x14ac:dyDescent="0.35">
      <c r="A1362" t="s">
        <v>2266</v>
      </c>
      <c r="B1362" t="s">
        <v>18</v>
      </c>
      <c r="C1362">
        <v>41.75</v>
      </c>
      <c r="D1362">
        <v>42.75</v>
      </c>
      <c r="E1362">
        <v>41</v>
      </c>
      <c r="F1362">
        <v>42.25</v>
      </c>
      <c r="G1362">
        <v>41.8</v>
      </c>
      <c r="H1362">
        <v>42.8</v>
      </c>
      <c r="I1362">
        <v>44676</v>
      </c>
      <c r="J1362">
        <v>1869461.7</v>
      </c>
      <c r="K1362" s="13">
        <v>43994</v>
      </c>
      <c r="L1362">
        <v>433</v>
      </c>
      <c r="M1362" t="s">
        <v>2267</v>
      </c>
    </row>
    <row r="1363" spans="1:13" x14ac:dyDescent="0.35">
      <c r="A1363" t="s">
        <v>2268</v>
      </c>
      <c r="B1363" t="s">
        <v>18</v>
      </c>
      <c r="C1363">
        <v>972.2</v>
      </c>
      <c r="D1363">
        <v>1052.5</v>
      </c>
      <c r="E1363">
        <v>972.2</v>
      </c>
      <c r="F1363">
        <v>1029.8499999999999</v>
      </c>
      <c r="G1363">
        <v>1026</v>
      </c>
      <c r="H1363">
        <v>1055.05</v>
      </c>
      <c r="I1363">
        <v>4489241</v>
      </c>
      <c r="J1363">
        <v>4590167692.25</v>
      </c>
      <c r="K1363" s="13">
        <v>43994</v>
      </c>
      <c r="L1363">
        <v>154032</v>
      </c>
      <c r="M1363" t="s">
        <v>2269</v>
      </c>
    </row>
    <row r="1364" spans="1:13" x14ac:dyDescent="0.35">
      <c r="A1364" t="s">
        <v>2270</v>
      </c>
      <c r="B1364" t="s">
        <v>18</v>
      </c>
      <c r="C1364">
        <v>2075</v>
      </c>
      <c r="D1364">
        <v>2080</v>
      </c>
      <c r="E1364">
        <v>2067</v>
      </c>
      <c r="F1364">
        <v>2079.85</v>
      </c>
      <c r="G1364">
        <v>2075</v>
      </c>
      <c r="H1364">
        <v>2074.3000000000002</v>
      </c>
      <c r="I1364">
        <v>1347</v>
      </c>
      <c r="J1364">
        <v>2799636.05</v>
      </c>
      <c r="K1364" s="13">
        <v>43994</v>
      </c>
      <c r="L1364">
        <v>70</v>
      </c>
      <c r="M1364" t="s">
        <v>2271</v>
      </c>
    </row>
    <row r="1365" spans="1:13" x14ac:dyDescent="0.35">
      <c r="A1365" t="s">
        <v>2272</v>
      </c>
      <c r="B1365" t="s">
        <v>18</v>
      </c>
      <c r="C1365">
        <v>997</v>
      </c>
      <c r="D1365">
        <v>1017.51</v>
      </c>
      <c r="E1365">
        <v>994</v>
      </c>
      <c r="F1365">
        <v>1017.51</v>
      </c>
      <c r="G1365">
        <v>1017.51</v>
      </c>
      <c r="H1365">
        <v>1036</v>
      </c>
      <c r="I1365">
        <v>192</v>
      </c>
      <c r="J1365">
        <v>193336.66</v>
      </c>
      <c r="K1365" s="13">
        <v>43994</v>
      </c>
      <c r="L1365">
        <v>41</v>
      </c>
      <c r="M1365" t="s">
        <v>2273</v>
      </c>
    </row>
    <row r="1366" spans="1:13" x14ac:dyDescent="0.35">
      <c r="A1366" t="s">
        <v>2274</v>
      </c>
      <c r="B1366" t="s">
        <v>18</v>
      </c>
      <c r="C1366">
        <v>253.5</v>
      </c>
      <c r="D1366">
        <v>275</v>
      </c>
      <c r="E1366">
        <v>253</v>
      </c>
      <c r="F1366">
        <v>270.8</v>
      </c>
      <c r="G1366">
        <v>270</v>
      </c>
      <c r="H1366">
        <v>266.3</v>
      </c>
      <c r="I1366">
        <v>305005</v>
      </c>
      <c r="J1366">
        <v>80246785.400000006</v>
      </c>
      <c r="K1366" s="13">
        <v>43994</v>
      </c>
      <c r="L1366">
        <v>6011</v>
      </c>
      <c r="M1366" t="s">
        <v>2275</v>
      </c>
    </row>
    <row r="1367" spans="1:13" x14ac:dyDescent="0.35">
      <c r="A1367" t="s">
        <v>2276</v>
      </c>
      <c r="B1367" t="s">
        <v>18</v>
      </c>
      <c r="C1367">
        <v>101.5</v>
      </c>
      <c r="D1367">
        <v>104.65</v>
      </c>
      <c r="E1367">
        <v>100.2</v>
      </c>
      <c r="F1367">
        <v>103.85</v>
      </c>
      <c r="G1367">
        <v>104</v>
      </c>
      <c r="H1367">
        <v>104.7</v>
      </c>
      <c r="I1367">
        <v>126126</v>
      </c>
      <c r="J1367">
        <v>12930380.75</v>
      </c>
      <c r="K1367" s="13">
        <v>43994</v>
      </c>
      <c r="L1367">
        <v>2488</v>
      </c>
      <c r="M1367" t="s">
        <v>2277</v>
      </c>
    </row>
    <row r="1368" spans="1:13" x14ac:dyDescent="0.35">
      <c r="A1368" t="s">
        <v>2278</v>
      </c>
      <c r="B1368" t="s">
        <v>18</v>
      </c>
      <c r="C1368">
        <v>1</v>
      </c>
      <c r="D1368">
        <v>1</v>
      </c>
      <c r="E1368">
        <v>0.95</v>
      </c>
      <c r="F1368">
        <v>1</v>
      </c>
      <c r="G1368">
        <v>1</v>
      </c>
      <c r="H1368">
        <v>1</v>
      </c>
      <c r="I1368">
        <v>7107</v>
      </c>
      <c r="J1368">
        <v>6857</v>
      </c>
      <c r="K1368" s="13">
        <v>43994</v>
      </c>
      <c r="L1368">
        <v>6</v>
      </c>
      <c r="M1368" t="s">
        <v>2279</v>
      </c>
    </row>
    <row r="1369" spans="1:13" x14ac:dyDescent="0.35">
      <c r="A1369" t="s">
        <v>2280</v>
      </c>
      <c r="B1369" t="s">
        <v>18</v>
      </c>
      <c r="C1369">
        <v>323</v>
      </c>
      <c r="D1369">
        <v>345</v>
      </c>
      <c r="E1369">
        <v>321.95</v>
      </c>
      <c r="F1369">
        <v>341.45</v>
      </c>
      <c r="G1369">
        <v>340</v>
      </c>
      <c r="H1369">
        <v>338.8</v>
      </c>
      <c r="I1369">
        <v>387549</v>
      </c>
      <c r="J1369">
        <v>130135849.75</v>
      </c>
      <c r="K1369" s="13">
        <v>43994</v>
      </c>
      <c r="L1369">
        <v>8946</v>
      </c>
      <c r="M1369" t="s">
        <v>2281</v>
      </c>
    </row>
    <row r="1370" spans="1:13" x14ac:dyDescent="0.35">
      <c r="A1370" t="s">
        <v>2282</v>
      </c>
      <c r="B1370" t="s">
        <v>18</v>
      </c>
      <c r="C1370">
        <v>14.5</v>
      </c>
      <c r="D1370">
        <v>16.399999999999999</v>
      </c>
      <c r="E1370">
        <v>14.5</v>
      </c>
      <c r="F1370">
        <v>15.9</v>
      </c>
      <c r="G1370">
        <v>15.85</v>
      </c>
      <c r="H1370">
        <v>15.45</v>
      </c>
      <c r="I1370">
        <v>1983381</v>
      </c>
      <c r="J1370">
        <v>31078807.100000001</v>
      </c>
      <c r="K1370" s="13">
        <v>43994</v>
      </c>
      <c r="L1370">
        <v>4179</v>
      </c>
      <c r="M1370" t="s">
        <v>2283</v>
      </c>
    </row>
    <row r="1371" spans="1:13" x14ac:dyDescent="0.35">
      <c r="A1371" t="s">
        <v>2284</v>
      </c>
      <c r="B1371" t="s">
        <v>18</v>
      </c>
      <c r="C1371">
        <v>71</v>
      </c>
      <c r="D1371">
        <v>74.3</v>
      </c>
      <c r="E1371">
        <v>70.599999999999994</v>
      </c>
      <c r="F1371">
        <v>73.849999999999994</v>
      </c>
      <c r="G1371">
        <v>73.900000000000006</v>
      </c>
      <c r="H1371">
        <v>75.150000000000006</v>
      </c>
      <c r="I1371">
        <v>1384712</v>
      </c>
      <c r="J1371">
        <v>100406901.2</v>
      </c>
      <c r="K1371" s="13">
        <v>43994</v>
      </c>
      <c r="L1371">
        <v>8296</v>
      </c>
      <c r="M1371" t="s">
        <v>2285</v>
      </c>
    </row>
    <row r="1372" spans="1:13" x14ac:dyDescent="0.35">
      <c r="A1372" t="s">
        <v>2286</v>
      </c>
      <c r="B1372" t="s">
        <v>18</v>
      </c>
      <c r="C1372">
        <v>472</v>
      </c>
      <c r="D1372">
        <v>483.6</v>
      </c>
      <c r="E1372">
        <v>465.05</v>
      </c>
      <c r="F1372">
        <v>480.35</v>
      </c>
      <c r="G1372">
        <v>481.6</v>
      </c>
      <c r="H1372">
        <v>478.15</v>
      </c>
      <c r="I1372">
        <v>143704</v>
      </c>
      <c r="J1372">
        <v>68203230.450000003</v>
      </c>
      <c r="K1372" s="13">
        <v>43994</v>
      </c>
      <c r="L1372">
        <v>7281</v>
      </c>
      <c r="M1372" t="s">
        <v>2287</v>
      </c>
    </row>
    <row r="1373" spans="1:13" x14ac:dyDescent="0.35">
      <c r="A1373" t="s">
        <v>2288</v>
      </c>
      <c r="B1373" t="s">
        <v>18</v>
      </c>
      <c r="C1373">
        <v>202.5</v>
      </c>
      <c r="D1373">
        <v>219.35</v>
      </c>
      <c r="E1373">
        <v>202.5</v>
      </c>
      <c r="F1373">
        <v>215.6</v>
      </c>
      <c r="G1373">
        <v>213.5</v>
      </c>
      <c r="H1373">
        <v>219.35</v>
      </c>
      <c r="I1373">
        <v>4177</v>
      </c>
      <c r="J1373">
        <v>881866</v>
      </c>
      <c r="K1373" s="13">
        <v>43994</v>
      </c>
      <c r="L1373">
        <v>154</v>
      </c>
      <c r="M1373" t="s">
        <v>2289</v>
      </c>
    </row>
    <row r="1374" spans="1:13" x14ac:dyDescent="0.35">
      <c r="A1374" t="s">
        <v>3831</v>
      </c>
      <c r="B1374" t="s">
        <v>3414</v>
      </c>
      <c r="C1374">
        <v>0.2</v>
      </c>
      <c r="D1374">
        <v>0.2</v>
      </c>
      <c r="E1374">
        <v>0.15</v>
      </c>
      <c r="F1374">
        <v>0.2</v>
      </c>
      <c r="G1374">
        <v>0.2</v>
      </c>
      <c r="H1374">
        <v>0.15</v>
      </c>
      <c r="I1374">
        <v>3907861</v>
      </c>
      <c r="J1374">
        <v>724202.65</v>
      </c>
      <c r="K1374" s="13">
        <v>43994</v>
      </c>
      <c r="L1374">
        <v>303</v>
      </c>
      <c r="M1374" t="s">
        <v>3832</v>
      </c>
    </row>
    <row r="1375" spans="1:13" x14ac:dyDescent="0.35">
      <c r="A1375" t="s">
        <v>2290</v>
      </c>
      <c r="B1375" t="s">
        <v>18</v>
      </c>
      <c r="C1375">
        <v>16.95</v>
      </c>
      <c r="D1375">
        <v>17.45</v>
      </c>
      <c r="E1375">
        <v>15.65</v>
      </c>
      <c r="F1375">
        <v>16.899999999999999</v>
      </c>
      <c r="G1375">
        <v>16.95</v>
      </c>
      <c r="H1375">
        <v>17.25</v>
      </c>
      <c r="I1375">
        <v>38508</v>
      </c>
      <c r="J1375">
        <v>634577.5</v>
      </c>
      <c r="K1375" s="13">
        <v>43994</v>
      </c>
      <c r="L1375">
        <v>417</v>
      </c>
      <c r="M1375" t="s">
        <v>2291</v>
      </c>
    </row>
    <row r="1376" spans="1:13" x14ac:dyDescent="0.35">
      <c r="A1376" t="s">
        <v>2292</v>
      </c>
      <c r="B1376" t="s">
        <v>18</v>
      </c>
      <c r="C1376">
        <v>33.200000000000003</v>
      </c>
      <c r="D1376">
        <v>38.299999999999997</v>
      </c>
      <c r="E1376">
        <v>33.200000000000003</v>
      </c>
      <c r="F1376">
        <v>35.549999999999997</v>
      </c>
      <c r="G1376">
        <v>35</v>
      </c>
      <c r="H1376">
        <v>36.5</v>
      </c>
      <c r="I1376">
        <v>5728</v>
      </c>
      <c r="J1376">
        <v>198791.1</v>
      </c>
      <c r="K1376" s="13">
        <v>43994</v>
      </c>
      <c r="L1376">
        <v>124</v>
      </c>
      <c r="M1376" t="s">
        <v>2293</v>
      </c>
    </row>
    <row r="1377" spans="1:13" x14ac:dyDescent="0.35">
      <c r="A1377" t="s">
        <v>2294</v>
      </c>
      <c r="B1377" t="s">
        <v>18</v>
      </c>
      <c r="C1377">
        <v>230</v>
      </c>
      <c r="D1377">
        <v>237</v>
      </c>
      <c r="E1377">
        <v>228.5</v>
      </c>
      <c r="F1377">
        <v>234.75</v>
      </c>
      <c r="G1377">
        <v>234.55</v>
      </c>
      <c r="H1377">
        <v>237.65</v>
      </c>
      <c r="I1377">
        <v>443503</v>
      </c>
      <c r="J1377">
        <v>103446872.15000001</v>
      </c>
      <c r="K1377" s="13">
        <v>43994</v>
      </c>
      <c r="L1377">
        <v>9858</v>
      </c>
      <c r="M1377" t="s">
        <v>2295</v>
      </c>
    </row>
    <row r="1378" spans="1:13" x14ac:dyDescent="0.35">
      <c r="A1378" t="s">
        <v>2296</v>
      </c>
      <c r="B1378" t="s">
        <v>18</v>
      </c>
      <c r="C1378">
        <v>11.95</v>
      </c>
      <c r="D1378">
        <v>12.2</v>
      </c>
      <c r="E1378">
        <v>11.65</v>
      </c>
      <c r="F1378">
        <v>12.1</v>
      </c>
      <c r="G1378">
        <v>12</v>
      </c>
      <c r="H1378">
        <v>12.05</v>
      </c>
      <c r="I1378">
        <v>14103</v>
      </c>
      <c r="J1378">
        <v>169245.6</v>
      </c>
      <c r="K1378" s="13">
        <v>43994</v>
      </c>
      <c r="L1378">
        <v>100</v>
      </c>
      <c r="M1378" t="s">
        <v>2297</v>
      </c>
    </row>
    <row r="1379" spans="1:13" x14ac:dyDescent="0.35">
      <c r="A1379" t="s">
        <v>2298</v>
      </c>
      <c r="B1379" t="s">
        <v>18</v>
      </c>
      <c r="C1379">
        <v>30.9</v>
      </c>
      <c r="D1379">
        <v>32.5</v>
      </c>
      <c r="E1379">
        <v>30.6</v>
      </c>
      <c r="F1379">
        <v>30.6</v>
      </c>
      <c r="G1379">
        <v>30.6</v>
      </c>
      <c r="H1379">
        <v>32.200000000000003</v>
      </c>
      <c r="I1379">
        <v>8876</v>
      </c>
      <c r="J1379">
        <v>272901.84999999998</v>
      </c>
      <c r="K1379" s="13">
        <v>43994</v>
      </c>
      <c r="L1379">
        <v>62</v>
      </c>
      <c r="M1379" t="s">
        <v>2299</v>
      </c>
    </row>
    <row r="1380" spans="1:13" x14ac:dyDescent="0.35">
      <c r="A1380" t="s">
        <v>2300</v>
      </c>
      <c r="B1380" t="s">
        <v>18</v>
      </c>
      <c r="C1380">
        <v>600.9</v>
      </c>
      <c r="D1380">
        <v>628</v>
      </c>
      <c r="E1380">
        <v>599.9</v>
      </c>
      <c r="F1380">
        <v>625.1</v>
      </c>
      <c r="G1380">
        <v>623.75</v>
      </c>
      <c r="H1380">
        <v>613.6</v>
      </c>
      <c r="I1380">
        <v>451759</v>
      </c>
      <c r="J1380">
        <v>277374276.05000001</v>
      </c>
      <c r="K1380" s="13">
        <v>43994</v>
      </c>
      <c r="L1380">
        <v>14602</v>
      </c>
      <c r="M1380" t="s">
        <v>2301</v>
      </c>
    </row>
    <row r="1381" spans="1:13" x14ac:dyDescent="0.35">
      <c r="A1381" t="s">
        <v>2302</v>
      </c>
      <c r="B1381" t="s">
        <v>18</v>
      </c>
      <c r="C1381">
        <v>135</v>
      </c>
      <c r="D1381">
        <v>145.35</v>
      </c>
      <c r="E1381">
        <v>135</v>
      </c>
      <c r="F1381">
        <v>142.1</v>
      </c>
      <c r="G1381">
        <v>139.5</v>
      </c>
      <c r="H1381">
        <v>142.05000000000001</v>
      </c>
      <c r="I1381">
        <v>65027</v>
      </c>
      <c r="J1381">
        <v>9151604.8499999996</v>
      </c>
      <c r="K1381" s="13">
        <v>43994</v>
      </c>
      <c r="L1381">
        <v>1522</v>
      </c>
      <c r="M1381" t="s">
        <v>2303</v>
      </c>
    </row>
    <row r="1382" spans="1:13" x14ac:dyDescent="0.35">
      <c r="A1382" t="s">
        <v>2304</v>
      </c>
      <c r="B1382" t="s">
        <v>18</v>
      </c>
      <c r="C1382">
        <v>110</v>
      </c>
      <c r="D1382">
        <v>121.3</v>
      </c>
      <c r="E1382">
        <v>105.3</v>
      </c>
      <c r="F1382">
        <v>121.3</v>
      </c>
      <c r="G1382">
        <v>121.3</v>
      </c>
      <c r="H1382">
        <v>110.3</v>
      </c>
      <c r="I1382">
        <v>2623412</v>
      </c>
      <c r="J1382">
        <v>307843848.89999998</v>
      </c>
      <c r="K1382" s="13">
        <v>43994</v>
      </c>
      <c r="L1382">
        <v>20343</v>
      </c>
      <c r="M1382" t="s">
        <v>2305</v>
      </c>
    </row>
    <row r="1383" spans="1:13" x14ac:dyDescent="0.35">
      <c r="A1383" t="s">
        <v>2306</v>
      </c>
      <c r="B1383" t="s">
        <v>18</v>
      </c>
      <c r="C1383">
        <v>33</v>
      </c>
      <c r="D1383">
        <v>37.299999999999997</v>
      </c>
      <c r="E1383">
        <v>32.700000000000003</v>
      </c>
      <c r="F1383">
        <v>36.799999999999997</v>
      </c>
      <c r="G1383">
        <v>36.200000000000003</v>
      </c>
      <c r="H1383">
        <v>35.15</v>
      </c>
      <c r="I1383">
        <v>117233</v>
      </c>
      <c r="J1383">
        <v>4124031.5</v>
      </c>
      <c r="K1383" s="13">
        <v>43994</v>
      </c>
      <c r="L1383">
        <v>650</v>
      </c>
      <c r="M1383" t="s">
        <v>2307</v>
      </c>
    </row>
    <row r="1384" spans="1:13" x14ac:dyDescent="0.35">
      <c r="A1384" t="s">
        <v>3833</v>
      </c>
      <c r="B1384" t="s">
        <v>3414</v>
      </c>
      <c r="C1384">
        <v>0.55000000000000004</v>
      </c>
      <c r="D1384">
        <v>0.6</v>
      </c>
      <c r="E1384">
        <v>0.55000000000000004</v>
      </c>
      <c r="F1384">
        <v>0.6</v>
      </c>
      <c r="G1384">
        <v>0.6</v>
      </c>
      <c r="H1384">
        <v>0.55000000000000004</v>
      </c>
      <c r="I1384">
        <v>10206</v>
      </c>
      <c r="J1384">
        <v>5898.45</v>
      </c>
      <c r="K1384" s="13">
        <v>43994</v>
      </c>
      <c r="L1384">
        <v>16</v>
      </c>
      <c r="M1384" t="s">
        <v>3834</v>
      </c>
    </row>
    <row r="1385" spans="1:13" x14ac:dyDescent="0.35">
      <c r="A1385" t="s">
        <v>2308</v>
      </c>
      <c r="B1385" t="s">
        <v>18</v>
      </c>
      <c r="C1385">
        <v>4.5</v>
      </c>
      <c r="D1385">
        <v>4.5</v>
      </c>
      <c r="E1385">
        <v>4.2</v>
      </c>
      <c r="F1385">
        <v>4.3</v>
      </c>
      <c r="G1385">
        <v>4.3499999999999996</v>
      </c>
      <c r="H1385">
        <v>4.4000000000000004</v>
      </c>
      <c r="I1385">
        <v>427904</v>
      </c>
      <c r="J1385">
        <v>1836464.5</v>
      </c>
      <c r="K1385" s="13">
        <v>43994</v>
      </c>
      <c r="L1385">
        <v>387</v>
      </c>
      <c r="M1385" t="s">
        <v>2309</v>
      </c>
    </row>
    <row r="1386" spans="1:13" x14ac:dyDescent="0.35">
      <c r="A1386" t="s">
        <v>2310</v>
      </c>
      <c r="B1386" t="s">
        <v>18</v>
      </c>
      <c r="C1386">
        <v>185.8</v>
      </c>
      <c r="D1386">
        <v>207</v>
      </c>
      <c r="E1386">
        <v>185.8</v>
      </c>
      <c r="F1386">
        <v>200.2</v>
      </c>
      <c r="G1386">
        <v>206</v>
      </c>
      <c r="H1386">
        <v>195.9</v>
      </c>
      <c r="I1386">
        <v>1097</v>
      </c>
      <c r="J1386">
        <v>211655</v>
      </c>
      <c r="K1386" s="13">
        <v>43994</v>
      </c>
      <c r="L1386">
        <v>113</v>
      </c>
      <c r="M1386" t="s">
        <v>2311</v>
      </c>
    </row>
    <row r="1387" spans="1:13" x14ac:dyDescent="0.35">
      <c r="A1387" t="s">
        <v>2312</v>
      </c>
      <c r="B1387" t="s">
        <v>18</v>
      </c>
      <c r="C1387">
        <v>385</v>
      </c>
      <c r="D1387">
        <v>410</v>
      </c>
      <c r="E1387">
        <v>376.3</v>
      </c>
      <c r="F1387">
        <v>407.9</v>
      </c>
      <c r="G1387">
        <v>409.8</v>
      </c>
      <c r="H1387">
        <v>400.2</v>
      </c>
      <c r="I1387">
        <v>7197</v>
      </c>
      <c r="J1387">
        <v>2860635.3</v>
      </c>
      <c r="K1387" s="13">
        <v>43994</v>
      </c>
      <c r="L1387">
        <v>529</v>
      </c>
      <c r="M1387" t="s">
        <v>2313</v>
      </c>
    </row>
    <row r="1388" spans="1:13" x14ac:dyDescent="0.35">
      <c r="A1388" t="s">
        <v>2314</v>
      </c>
      <c r="B1388" t="s">
        <v>18</v>
      </c>
      <c r="C1388">
        <v>966.1</v>
      </c>
      <c r="D1388">
        <v>1023.05</v>
      </c>
      <c r="E1388">
        <v>966.1</v>
      </c>
      <c r="F1388">
        <v>1010.35</v>
      </c>
      <c r="G1388">
        <v>1022</v>
      </c>
      <c r="H1388">
        <v>1029.3499999999999</v>
      </c>
      <c r="I1388">
        <v>33205</v>
      </c>
      <c r="J1388">
        <v>33136870.449999999</v>
      </c>
      <c r="K1388" s="13">
        <v>43994</v>
      </c>
      <c r="L1388">
        <v>2993</v>
      </c>
      <c r="M1388" t="s">
        <v>2315</v>
      </c>
    </row>
    <row r="1389" spans="1:13" x14ac:dyDescent="0.35">
      <c r="A1389" t="s">
        <v>2316</v>
      </c>
      <c r="B1389" t="s">
        <v>18</v>
      </c>
      <c r="C1389">
        <v>263</v>
      </c>
      <c r="D1389">
        <v>293.95</v>
      </c>
      <c r="E1389">
        <v>263</v>
      </c>
      <c r="F1389">
        <v>290.64999999999998</v>
      </c>
      <c r="G1389">
        <v>290</v>
      </c>
      <c r="H1389">
        <v>285.39999999999998</v>
      </c>
      <c r="I1389">
        <v>1128612</v>
      </c>
      <c r="J1389">
        <v>316875622.14999998</v>
      </c>
      <c r="K1389" s="13">
        <v>43994</v>
      </c>
      <c r="L1389">
        <v>22423</v>
      </c>
      <c r="M1389" t="s">
        <v>2317</v>
      </c>
    </row>
    <row r="1390" spans="1:13" x14ac:dyDescent="0.35">
      <c r="A1390" t="s">
        <v>2318</v>
      </c>
      <c r="B1390" t="s">
        <v>18</v>
      </c>
      <c r="C1390">
        <v>457</v>
      </c>
      <c r="D1390">
        <v>475.45</v>
      </c>
      <c r="E1390">
        <v>443.35</v>
      </c>
      <c r="F1390">
        <v>469.9</v>
      </c>
      <c r="G1390">
        <v>467.5</v>
      </c>
      <c r="H1390">
        <v>464.05</v>
      </c>
      <c r="I1390">
        <v>22528</v>
      </c>
      <c r="J1390">
        <v>10332292.050000001</v>
      </c>
      <c r="K1390" s="13">
        <v>43994</v>
      </c>
      <c r="L1390">
        <v>1663</v>
      </c>
      <c r="M1390" t="s">
        <v>2319</v>
      </c>
    </row>
    <row r="1391" spans="1:13" x14ac:dyDescent="0.35">
      <c r="A1391" t="s">
        <v>2320</v>
      </c>
      <c r="B1391" t="s">
        <v>18</v>
      </c>
      <c r="C1391">
        <v>151</v>
      </c>
      <c r="D1391">
        <v>170.4</v>
      </c>
      <c r="E1391">
        <v>147.15</v>
      </c>
      <c r="F1391">
        <v>168.6</v>
      </c>
      <c r="G1391">
        <v>168.5</v>
      </c>
      <c r="H1391">
        <v>160.55000000000001</v>
      </c>
      <c r="I1391">
        <v>83497179</v>
      </c>
      <c r="J1391">
        <v>13286499310</v>
      </c>
      <c r="K1391" s="13">
        <v>43994</v>
      </c>
      <c r="L1391">
        <v>377913</v>
      </c>
      <c r="M1391" t="s">
        <v>2321</v>
      </c>
    </row>
    <row r="1392" spans="1:13" x14ac:dyDescent="0.35">
      <c r="A1392" t="s">
        <v>2322</v>
      </c>
      <c r="B1392" t="s">
        <v>18</v>
      </c>
      <c r="C1392">
        <v>45.25</v>
      </c>
      <c r="D1392">
        <v>45.6</v>
      </c>
      <c r="E1392">
        <v>44.1</v>
      </c>
      <c r="F1392">
        <v>44.9</v>
      </c>
      <c r="G1392">
        <v>44.8</v>
      </c>
      <c r="H1392">
        <v>46.1</v>
      </c>
      <c r="I1392">
        <v>5692896</v>
      </c>
      <c r="J1392">
        <v>255508343.15000001</v>
      </c>
      <c r="K1392" s="13">
        <v>43994</v>
      </c>
      <c r="L1392">
        <v>17714</v>
      </c>
      <c r="M1392" t="s">
        <v>2323</v>
      </c>
    </row>
    <row r="1393" spans="1:13" x14ac:dyDescent="0.35">
      <c r="A1393" t="s">
        <v>3835</v>
      </c>
      <c r="B1393" t="s">
        <v>3391</v>
      </c>
      <c r="C1393">
        <v>1</v>
      </c>
      <c r="D1393">
        <v>1</v>
      </c>
      <c r="E1393">
        <v>0.95</v>
      </c>
      <c r="F1393">
        <v>0.95</v>
      </c>
      <c r="G1393">
        <v>0.95</v>
      </c>
      <c r="H1393">
        <v>1</v>
      </c>
      <c r="I1393">
        <v>11641852</v>
      </c>
      <c r="J1393">
        <v>11081821.5</v>
      </c>
      <c r="K1393" s="13">
        <v>43994</v>
      </c>
      <c r="L1393">
        <v>4803</v>
      </c>
      <c r="M1393" t="s">
        <v>3836</v>
      </c>
    </row>
    <row r="1394" spans="1:13" x14ac:dyDescent="0.35">
      <c r="A1394" t="s">
        <v>2324</v>
      </c>
      <c r="B1394" t="s">
        <v>18</v>
      </c>
      <c r="C1394">
        <v>96.15</v>
      </c>
      <c r="D1394">
        <v>107</v>
      </c>
      <c r="E1394">
        <v>96</v>
      </c>
      <c r="F1394">
        <v>106.05</v>
      </c>
      <c r="G1394">
        <v>105.95</v>
      </c>
      <c r="H1394">
        <v>101.8</v>
      </c>
      <c r="I1394">
        <v>17032691</v>
      </c>
      <c r="J1394">
        <v>1755794857.2</v>
      </c>
      <c r="K1394" s="13">
        <v>43994</v>
      </c>
      <c r="L1394">
        <v>62537</v>
      </c>
      <c r="M1394" t="s">
        <v>2325</v>
      </c>
    </row>
    <row r="1395" spans="1:13" x14ac:dyDescent="0.35">
      <c r="A1395" t="s">
        <v>2324</v>
      </c>
      <c r="B1395" t="s">
        <v>3575</v>
      </c>
      <c r="C1395">
        <v>1303.99</v>
      </c>
      <c r="D1395">
        <v>1304</v>
      </c>
      <c r="E1395">
        <v>1303.99</v>
      </c>
      <c r="F1395">
        <v>1304</v>
      </c>
      <c r="G1395">
        <v>1304</v>
      </c>
      <c r="H1395">
        <v>1304.4000000000001</v>
      </c>
      <c r="I1395">
        <v>2755</v>
      </c>
      <c r="J1395">
        <v>3592518.25</v>
      </c>
      <c r="K1395" s="13">
        <v>43994</v>
      </c>
      <c r="L1395">
        <v>14</v>
      </c>
      <c r="M1395" t="s">
        <v>3837</v>
      </c>
    </row>
    <row r="1396" spans="1:13" x14ac:dyDescent="0.35">
      <c r="A1396" t="s">
        <v>2324</v>
      </c>
      <c r="B1396" t="s">
        <v>3488</v>
      </c>
      <c r="C1396">
        <v>1219</v>
      </c>
      <c r="D1396">
        <v>1247.99</v>
      </c>
      <c r="E1396">
        <v>1200</v>
      </c>
      <c r="F1396">
        <v>1220</v>
      </c>
      <c r="G1396">
        <v>1220</v>
      </c>
      <c r="H1396">
        <v>1274.9000000000001</v>
      </c>
      <c r="I1396">
        <v>3479</v>
      </c>
      <c r="J1396">
        <v>4240414.7699999996</v>
      </c>
      <c r="K1396" s="13">
        <v>43994</v>
      </c>
      <c r="L1396">
        <v>34</v>
      </c>
      <c r="M1396" t="s">
        <v>3838</v>
      </c>
    </row>
    <row r="1397" spans="1:13" x14ac:dyDescent="0.35">
      <c r="A1397" t="s">
        <v>2326</v>
      </c>
      <c r="B1397" t="s">
        <v>18</v>
      </c>
      <c r="C1397">
        <v>80.599999999999994</v>
      </c>
      <c r="D1397">
        <v>88.25</v>
      </c>
      <c r="E1397">
        <v>80.599999999999994</v>
      </c>
      <c r="F1397">
        <v>85.4</v>
      </c>
      <c r="G1397">
        <v>85.5</v>
      </c>
      <c r="H1397">
        <v>86.85</v>
      </c>
      <c r="I1397">
        <v>1438016</v>
      </c>
      <c r="J1397">
        <v>123791481</v>
      </c>
      <c r="K1397" s="13">
        <v>43994</v>
      </c>
      <c r="L1397">
        <v>16754</v>
      </c>
      <c r="M1397" t="s">
        <v>2327</v>
      </c>
    </row>
    <row r="1398" spans="1:13" x14ac:dyDescent="0.35">
      <c r="A1398" t="s">
        <v>2328</v>
      </c>
      <c r="B1398" t="s">
        <v>18</v>
      </c>
      <c r="C1398">
        <v>48</v>
      </c>
      <c r="D1398">
        <v>52.4</v>
      </c>
      <c r="E1398">
        <v>47.4</v>
      </c>
      <c r="F1398">
        <v>51.85</v>
      </c>
      <c r="G1398">
        <v>51.25</v>
      </c>
      <c r="H1398">
        <v>51.95</v>
      </c>
      <c r="I1398">
        <v>174284</v>
      </c>
      <c r="J1398">
        <v>8654644.5500000007</v>
      </c>
      <c r="K1398" s="13">
        <v>43994</v>
      </c>
      <c r="L1398">
        <v>1508</v>
      </c>
      <c r="M1398" t="s">
        <v>2329</v>
      </c>
    </row>
    <row r="1399" spans="1:13" x14ac:dyDescent="0.35">
      <c r="A1399" t="s">
        <v>2330</v>
      </c>
      <c r="B1399" t="s">
        <v>18</v>
      </c>
      <c r="C1399">
        <v>630</v>
      </c>
      <c r="D1399">
        <v>670</v>
      </c>
      <c r="E1399">
        <v>625.6</v>
      </c>
      <c r="F1399">
        <v>655.6</v>
      </c>
      <c r="G1399">
        <v>655.4</v>
      </c>
      <c r="H1399">
        <v>662.3</v>
      </c>
      <c r="I1399">
        <v>308238</v>
      </c>
      <c r="J1399">
        <v>200676418.40000001</v>
      </c>
      <c r="K1399" s="13">
        <v>43994</v>
      </c>
      <c r="L1399">
        <v>16305</v>
      </c>
      <c r="M1399" t="s">
        <v>2331</v>
      </c>
    </row>
    <row r="1400" spans="1:13" x14ac:dyDescent="0.35">
      <c r="A1400" t="s">
        <v>3839</v>
      </c>
      <c r="B1400" t="s">
        <v>3391</v>
      </c>
      <c r="C1400">
        <v>7.6</v>
      </c>
      <c r="D1400">
        <v>8.1999999999999993</v>
      </c>
      <c r="E1400">
        <v>7.6</v>
      </c>
      <c r="F1400">
        <v>8.1</v>
      </c>
      <c r="G1400">
        <v>8.15</v>
      </c>
      <c r="H1400">
        <v>8</v>
      </c>
      <c r="I1400">
        <v>2017333</v>
      </c>
      <c r="J1400">
        <v>15723786.15</v>
      </c>
      <c r="K1400" s="13">
        <v>43994</v>
      </c>
      <c r="L1400">
        <v>3185</v>
      </c>
      <c r="M1400" t="s">
        <v>3840</v>
      </c>
    </row>
    <row r="1401" spans="1:13" x14ac:dyDescent="0.35">
      <c r="A1401" t="s">
        <v>3841</v>
      </c>
      <c r="B1401" t="s">
        <v>3381</v>
      </c>
      <c r="C1401">
        <v>25.65</v>
      </c>
      <c r="D1401">
        <v>25.65</v>
      </c>
      <c r="E1401">
        <v>25.65</v>
      </c>
      <c r="F1401">
        <v>25.65</v>
      </c>
      <c r="G1401">
        <v>25.65</v>
      </c>
      <c r="H1401">
        <v>24.45</v>
      </c>
      <c r="I1401">
        <v>2400</v>
      </c>
      <c r="J1401">
        <v>61560</v>
      </c>
      <c r="K1401" s="13">
        <v>43994</v>
      </c>
      <c r="L1401">
        <v>1</v>
      </c>
      <c r="M1401" t="s">
        <v>3842</v>
      </c>
    </row>
    <row r="1402" spans="1:13" x14ac:dyDescent="0.35">
      <c r="A1402" t="s">
        <v>2332</v>
      </c>
      <c r="B1402" t="s">
        <v>18</v>
      </c>
      <c r="C1402">
        <v>1500</v>
      </c>
      <c r="D1402">
        <v>1593</v>
      </c>
      <c r="E1402">
        <v>1497</v>
      </c>
      <c r="F1402">
        <v>1588.8</v>
      </c>
      <c r="G1402">
        <v>1588.7</v>
      </c>
      <c r="H1402">
        <v>1537.7</v>
      </c>
      <c r="I1402">
        <v>17790565</v>
      </c>
      <c r="J1402">
        <v>27623018097.700001</v>
      </c>
      <c r="K1402" s="13">
        <v>43994</v>
      </c>
      <c r="L1402">
        <v>337575</v>
      </c>
      <c r="M1402" t="s">
        <v>2333</v>
      </c>
    </row>
    <row r="1403" spans="1:13" x14ac:dyDescent="0.35">
      <c r="A1403" t="s">
        <v>2334</v>
      </c>
      <c r="B1403" t="s">
        <v>18</v>
      </c>
      <c r="C1403">
        <v>35.75</v>
      </c>
      <c r="D1403">
        <v>36.75</v>
      </c>
      <c r="E1403">
        <v>35.75</v>
      </c>
      <c r="F1403">
        <v>36.299999999999997</v>
      </c>
      <c r="G1403">
        <v>36</v>
      </c>
      <c r="H1403">
        <v>37.6</v>
      </c>
      <c r="I1403">
        <v>844768</v>
      </c>
      <c r="J1403">
        <v>30509629.899999999</v>
      </c>
      <c r="K1403" s="13">
        <v>43994</v>
      </c>
      <c r="L1403">
        <v>1086</v>
      </c>
      <c r="M1403" t="s">
        <v>2335</v>
      </c>
    </row>
    <row r="1404" spans="1:13" x14ac:dyDescent="0.35">
      <c r="A1404" t="s">
        <v>2336</v>
      </c>
      <c r="B1404" t="s">
        <v>18</v>
      </c>
      <c r="C1404">
        <v>20.55</v>
      </c>
      <c r="D1404">
        <v>22.05</v>
      </c>
      <c r="E1404">
        <v>20.5</v>
      </c>
      <c r="F1404">
        <v>21.8</v>
      </c>
      <c r="G1404">
        <v>21.75</v>
      </c>
      <c r="H1404">
        <v>22.05</v>
      </c>
      <c r="I1404">
        <v>2392695</v>
      </c>
      <c r="J1404">
        <v>50884975.5</v>
      </c>
      <c r="K1404" s="13">
        <v>43994</v>
      </c>
      <c r="L1404">
        <v>6071</v>
      </c>
      <c r="M1404" t="s">
        <v>2337</v>
      </c>
    </row>
    <row r="1405" spans="1:13" x14ac:dyDescent="0.35">
      <c r="A1405" t="s">
        <v>2338</v>
      </c>
      <c r="B1405" t="s">
        <v>18</v>
      </c>
      <c r="C1405">
        <v>70.8</v>
      </c>
      <c r="D1405">
        <v>77</v>
      </c>
      <c r="E1405">
        <v>65.5</v>
      </c>
      <c r="F1405">
        <v>75.349999999999994</v>
      </c>
      <c r="G1405">
        <v>76</v>
      </c>
      <c r="H1405">
        <v>71.849999999999994</v>
      </c>
      <c r="I1405">
        <v>6417</v>
      </c>
      <c r="J1405">
        <v>449499.3</v>
      </c>
      <c r="K1405" s="13">
        <v>43994</v>
      </c>
      <c r="L1405">
        <v>206</v>
      </c>
      <c r="M1405" t="s">
        <v>2339</v>
      </c>
    </row>
    <row r="1406" spans="1:13" x14ac:dyDescent="0.35">
      <c r="A1406" t="s">
        <v>2340</v>
      </c>
      <c r="B1406" t="s">
        <v>18</v>
      </c>
      <c r="C1406">
        <v>6.9</v>
      </c>
      <c r="D1406">
        <v>7.45</v>
      </c>
      <c r="E1406">
        <v>6.75</v>
      </c>
      <c r="F1406">
        <v>7.45</v>
      </c>
      <c r="G1406">
        <v>7.45</v>
      </c>
      <c r="H1406">
        <v>7.1</v>
      </c>
      <c r="I1406">
        <v>4828180</v>
      </c>
      <c r="J1406">
        <v>34016823.75</v>
      </c>
      <c r="K1406" s="13">
        <v>43994</v>
      </c>
      <c r="L1406">
        <v>3849</v>
      </c>
      <c r="M1406" t="s">
        <v>2341</v>
      </c>
    </row>
    <row r="1407" spans="1:13" x14ac:dyDescent="0.35">
      <c r="A1407" t="s">
        <v>2342</v>
      </c>
      <c r="B1407" t="s">
        <v>18</v>
      </c>
      <c r="C1407">
        <v>95</v>
      </c>
      <c r="D1407">
        <v>100.5</v>
      </c>
      <c r="E1407">
        <v>94.95</v>
      </c>
      <c r="F1407">
        <v>99.4</v>
      </c>
      <c r="G1407">
        <v>100</v>
      </c>
      <c r="H1407">
        <v>99.9</v>
      </c>
      <c r="I1407">
        <v>455443</v>
      </c>
      <c r="J1407">
        <v>44877555.149999999</v>
      </c>
      <c r="K1407" s="13">
        <v>43994</v>
      </c>
      <c r="L1407">
        <v>4835</v>
      </c>
      <c r="M1407" t="s">
        <v>2343</v>
      </c>
    </row>
    <row r="1408" spans="1:13" x14ac:dyDescent="0.35">
      <c r="A1408" t="s">
        <v>3843</v>
      </c>
      <c r="B1408" t="s">
        <v>3381</v>
      </c>
      <c r="C1408">
        <v>28.85</v>
      </c>
      <c r="D1408">
        <v>28.85</v>
      </c>
      <c r="E1408">
        <v>28.85</v>
      </c>
      <c r="F1408">
        <v>28.85</v>
      </c>
      <c r="G1408">
        <v>28.85</v>
      </c>
      <c r="H1408">
        <v>27.65</v>
      </c>
      <c r="I1408">
        <v>3000</v>
      </c>
      <c r="J1408">
        <v>86550</v>
      </c>
      <c r="K1408" s="13">
        <v>43994</v>
      </c>
      <c r="L1408">
        <v>1</v>
      </c>
      <c r="M1408" t="s">
        <v>3844</v>
      </c>
    </row>
    <row r="1409" spans="1:13" x14ac:dyDescent="0.35">
      <c r="A1409" t="s">
        <v>2344</v>
      </c>
      <c r="B1409" t="s">
        <v>18</v>
      </c>
      <c r="C1409">
        <v>371</v>
      </c>
      <c r="D1409">
        <v>378.85</v>
      </c>
      <c r="E1409">
        <v>349.6</v>
      </c>
      <c r="F1409">
        <v>374.9</v>
      </c>
      <c r="G1409">
        <v>375</v>
      </c>
      <c r="H1409">
        <v>377.35</v>
      </c>
      <c r="I1409">
        <v>2437</v>
      </c>
      <c r="J1409">
        <v>895566.15</v>
      </c>
      <c r="K1409" s="13">
        <v>43994</v>
      </c>
      <c r="L1409">
        <v>252</v>
      </c>
      <c r="M1409" t="s">
        <v>2345</v>
      </c>
    </row>
    <row r="1410" spans="1:13" x14ac:dyDescent="0.35">
      <c r="A1410" t="s">
        <v>2346</v>
      </c>
      <c r="B1410" t="s">
        <v>18</v>
      </c>
      <c r="C1410">
        <v>79.05</v>
      </c>
      <c r="D1410">
        <v>80.599999999999994</v>
      </c>
      <c r="E1410">
        <v>78.45</v>
      </c>
      <c r="F1410">
        <v>80.3</v>
      </c>
      <c r="G1410">
        <v>80.599999999999994</v>
      </c>
      <c r="H1410">
        <v>80.150000000000006</v>
      </c>
      <c r="I1410">
        <v>123345</v>
      </c>
      <c r="J1410">
        <v>9789654.75</v>
      </c>
      <c r="K1410" s="13">
        <v>43994</v>
      </c>
      <c r="L1410">
        <v>1494</v>
      </c>
      <c r="M1410" t="s">
        <v>2347</v>
      </c>
    </row>
    <row r="1411" spans="1:13" x14ac:dyDescent="0.35">
      <c r="A1411" t="s">
        <v>2348</v>
      </c>
      <c r="B1411" t="s">
        <v>18</v>
      </c>
      <c r="C1411">
        <v>361.05</v>
      </c>
      <c r="D1411">
        <v>399</v>
      </c>
      <c r="E1411">
        <v>340</v>
      </c>
      <c r="F1411">
        <v>375.75</v>
      </c>
      <c r="G1411">
        <v>379</v>
      </c>
      <c r="H1411">
        <v>360.5</v>
      </c>
      <c r="I1411">
        <v>5678</v>
      </c>
      <c r="J1411">
        <v>2146728.25</v>
      </c>
      <c r="K1411" s="13">
        <v>43994</v>
      </c>
      <c r="L1411">
        <v>513</v>
      </c>
      <c r="M1411" t="s">
        <v>2349</v>
      </c>
    </row>
    <row r="1412" spans="1:13" x14ac:dyDescent="0.35">
      <c r="A1412" t="s">
        <v>2350</v>
      </c>
      <c r="B1412" t="s">
        <v>18</v>
      </c>
      <c r="C1412">
        <v>221.05</v>
      </c>
      <c r="D1412">
        <v>239.95</v>
      </c>
      <c r="E1412">
        <v>207</v>
      </c>
      <c r="F1412">
        <v>225</v>
      </c>
      <c r="G1412">
        <v>225</v>
      </c>
      <c r="H1412">
        <v>227</v>
      </c>
      <c r="I1412">
        <v>1417</v>
      </c>
      <c r="J1412">
        <v>314539.34999999998</v>
      </c>
      <c r="K1412" s="13">
        <v>43994</v>
      </c>
      <c r="L1412">
        <v>90</v>
      </c>
      <c r="M1412" t="s">
        <v>2351</v>
      </c>
    </row>
    <row r="1413" spans="1:13" x14ac:dyDescent="0.35">
      <c r="A1413" t="s">
        <v>3845</v>
      </c>
      <c r="B1413" t="s">
        <v>3391</v>
      </c>
      <c r="C1413">
        <v>1.6</v>
      </c>
      <c r="D1413">
        <v>1.6</v>
      </c>
      <c r="E1413">
        <v>1.5</v>
      </c>
      <c r="F1413">
        <v>1.6</v>
      </c>
      <c r="G1413">
        <v>1.6</v>
      </c>
      <c r="H1413">
        <v>1.55</v>
      </c>
      <c r="I1413">
        <v>5238053</v>
      </c>
      <c r="J1413">
        <v>8003610</v>
      </c>
      <c r="K1413" s="13">
        <v>43994</v>
      </c>
      <c r="L1413">
        <v>2517</v>
      </c>
      <c r="M1413" t="s">
        <v>3846</v>
      </c>
    </row>
    <row r="1414" spans="1:13" x14ac:dyDescent="0.35">
      <c r="A1414" t="s">
        <v>3845</v>
      </c>
      <c r="B1414" t="s">
        <v>3512</v>
      </c>
      <c r="C1414">
        <v>163.69999999999999</v>
      </c>
      <c r="D1414">
        <v>165</v>
      </c>
      <c r="E1414">
        <v>163.69999999999999</v>
      </c>
      <c r="F1414">
        <v>164.71</v>
      </c>
      <c r="G1414">
        <v>165</v>
      </c>
      <c r="H1414">
        <v>149</v>
      </c>
      <c r="I1414">
        <v>242</v>
      </c>
      <c r="J1414">
        <v>39860</v>
      </c>
      <c r="K1414" s="13">
        <v>43994</v>
      </c>
      <c r="L1414">
        <v>3</v>
      </c>
      <c r="M1414" t="s">
        <v>3847</v>
      </c>
    </row>
    <row r="1415" spans="1:13" x14ac:dyDescent="0.35">
      <c r="A1415" t="s">
        <v>3845</v>
      </c>
      <c r="B1415" t="s">
        <v>3452</v>
      </c>
      <c r="C1415">
        <v>170</v>
      </c>
      <c r="D1415">
        <v>170</v>
      </c>
      <c r="E1415">
        <v>160</v>
      </c>
      <c r="F1415">
        <v>160</v>
      </c>
      <c r="G1415">
        <v>160</v>
      </c>
      <c r="H1415">
        <v>170.48</v>
      </c>
      <c r="I1415">
        <v>110</v>
      </c>
      <c r="J1415">
        <v>18200</v>
      </c>
      <c r="K1415" s="13">
        <v>43994</v>
      </c>
      <c r="L1415">
        <v>2</v>
      </c>
      <c r="M1415" t="s">
        <v>3848</v>
      </c>
    </row>
    <row r="1416" spans="1:13" x14ac:dyDescent="0.35">
      <c r="A1416" t="s">
        <v>3845</v>
      </c>
      <c r="B1416" t="s">
        <v>3573</v>
      </c>
      <c r="C1416">
        <v>121</v>
      </c>
      <c r="D1416">
        <v>130</v>
      </c>
      <c r="E1416">
        <v>120</v>
      </c>
      <c r="F1416">
        <v>130</v>
      </c>
      <c r="G1416">
        <v>130</v>
      </c>
      <c r="H1416">
        <v>120</v>
      </c>
      <c r="I1416">
        <v>400</v>
      </c>
      <c r="J1416">
        <v>49100</v>
      </c>
      <c r="K1416" s="13">
        <v>43994</v>
      </c>
      <c r="L1416">
        <v>4</v>
      </c>
      <c r="M1416" t="s">
        <v>3849</v>
      </c>
    </row>
    <row r="1417" spans="1:13" x14ac:dyDescent="0.35">
      <c r="A1417" t="s">
        <v>2352</v>
      </c>
      <c r="B1417" t="s">
        <v>18</v>
      </c>
      <c r="C1417">
        <v>32.799999999999997</v>
      </c>
      <c r="D1417">
        <v>34.65</v>
      </c>
      <c r="E1417">
        <v>32.5</v>
      </c>
      <c r="F1417">
        <v>33.799999999999997</v>
      </c>
      <c r="G1417">
        <v>33.65</v>
      </c>
      <c r="H1417">
        <v>32.799999999999997</v>
      </c>
      <c r="I1417">
        <v>937010</v>
      </c>
      <c r="J1417">
        <v>31662347</v>
      </c>
      <c r="K1417" s="13">
        <v>43994</v>
      </c>
      <c r="L1417">
        <v>4980</v>
      </c>
      <c r="M1417" t="s">
        <v>2353</v>
      </c>
    </row>
    <row r="1418" spans="1:13" x14ac:dyDescent="0.35">
      <c r="A1418" t="s">
        <v>2354</v>
      </c>
      <c r="B1418" t="s">
        <v>18</v>
      </c>
      <c r="C1418">
        <v>279</v>
      </c>
      <c r="D1418">
        <v>299.7</v>
      </c>
      <c r="E1418">
        <v>272.5</v>
      </c>
      <c r="F1418">
        <v>295.89999999999998</v>
      </c>
      <c r="G1418">
        <v>295</v>
      </c>
      <c r="H1418">
        <v>292.85000000000002</v>
      </c>
      <c r="I1418">
        <v>164162</v>
      </c>
      <c r="J1418">
        <v>47476230.25</v>
      </c>
      <c r="K1418" s="13">
        <v>43994</v>
      </c>
      <c r="L1418">
        <v>4664</v>
      </c>
      <c r="M1418" t="s">
        <v>2355</v>
      </c>
    </row>
    <row r="1419" spans="1:13" x14ac:dyDescent="0.35">
      <c r="A1419" t="s">
        <v>2356</v>
      </c>
      <c r="B1419" t="s">
        <v>18</v>
      </c>
      <c r="C1419">
        <v>228.5</v>
      </c>
      <c r="D1419">
        <v>237.5</v>
      </c>
      <c r="E1419">
        <v>228</v>
      </c>
      <c r="F1419">
        <v>236</v>
      </c>
      <c r="G1419">
        <v>236.35</v>
      </c>
      <c r="H1419">
        <v>237.9</v>
      </c>
      <c r="I1419">
        <v>267210</v>
      </c>
      <c r="J1419">
        <v>62364878.649999999</v>
      </c>
      <c r="K1419" s="13">
        <v>43994</v>
      </c>
      <c r="L1419">
        <v>7175</v>
      </c>
      <c r="M1419" t="s">
        <v>2357</v>
      </c>
    </row>
    <row r="1420" spans="1:13" x14ac:dyDescent="0.35">
      <c r="A1420" t="s">
        <v>2358</v>
      </c>
      <c r="B1420" t="s">
        <v>18</v>
      </c>
      <c r="C1420">
        <v>7.65</v>
      </c>
      <c r="D1420">
        <v>8.25</v>
      </c>
      <c r="E1420">
        <v>7.65</v>
      </c>
      <c r="F1420">
        <v>8.15</v>
      </c>
      <c r="G1420">
        <v>8.25</v>
      </c>
      <c r="H1420">
        <v>8.0500000000000007</v>
      </c>
      <c r="I1420">
        <v>24468</v>
      </c>
      <c r="J1420">
        <v>195344.7</v>
      </c>
      <c r="K1420" s="13">
        <v>43994</v>
      </c>
      <c r="L1420">
        <v>82</v>
      </c>
      <c r="M1420" t="s">
        <v>2359</v>
      </c>
    </row>
    <row r="1421" spans="1:13" x14ac:dyDescent="0.35">
      <c r="A1421" t="s">
        <v>3850</v>
      </c>
      <c r="B1421" t="s">
        <v>3381</v>
      </c>
      <c r="C1421">
        <v>33.65</v>
      </c>
      <c r="D1421">
        <v>34</v>
      </c>
      <c r="E1421">
        <v>33.6</v>
      </c>
      <c r="F1421">
        <v>34</v>
      </c>
      <c r="G1421">
        <v>34</v>
      </c>
      <c r="H1421">
        <v>36</v>
      </c>
      <c r="I1421">
        <v>3000</v>
      </c>
      <c r="J1421">
        <v>101250</v>
      </c>
      <c r="K1421" s="13">
        <v>43994</v>
      </c>
      <c r="L1421">
        <v>3</v>
      </c>
      <c r="M1421" t="s">
        <v>3851</v>
      </c>
    </row>
    <row r="1422" spans="1:13" x14ac:dyDescent="0.35">
      <c r="A1422" t="s">
        <v>2360</v>
      </c>
      <c r="B1422" t="s">
        <v>18</v>
      </c>
      <c r="C1422">
        <v>170.1</v>
      </c>
      <c r="D1422">
        <v>186.5</v>
      </c>
      <c r="E1422">
        <v>170</v>
      </c>
      <c r="F1422">
        <v>182.7</v>
      </c>
      <c r="G1422">
        <v>183.5</v>
      </c>
      <c r="H1422">
        <v>177.9</v>
      </c>
      <c r="I1422">
        <v>21024</v>
      </c>
      <c r="J1422">
        <v>3742283.4</v>
      </c>
      <c r="K1422" s="13">
        <v>43994</v>
      </c>
      <c r="L1422">
        <v>619</v>
      </c>
      <c r="M1422" t="s">
        <v>2361</v>
      </c>
    </row>
    <row r="1423" spans="1:13" x14ac:dyDescent="0.35">
      <c r="A1423" t="s">
        <v>3852</v>
      </c>
      <c r="B1423" t="s">
        <v>3391</v>
      </c>
      <c r="C1423">
        <v>4.25</v>
      </c>
      <c r="D1423">
        <v>4.5</v>
      </c>
      <c r="E1423">
        <v>4.0999999999999996</v>
      </c>
      <c r="F1423">
        <v>4.3499999999999996</v>
      </c>
      <c r="G1423">
        <v>4.3499999999999996</v>
      </c>
      <c r="H1423">
        <v>4.3</v>
      </c>
      <c r="I1423">
        <v>104050</v>
      </c>
      <c r="J1423">
        <v>451912.15</v>
      </c>
      <c r="K1423" s="13">
        <v>43994</v>
      </c>
      <c r="L1423">
        <v>148</v>
      </c>
      <c r="M1423" t="s">
        <v>3853</v>
      </c>
    </row>
    <row r="1424" spans="1:13" x14ac:dyDescent="0.35">
      <c r="A1424" t="s">
        <v>3854</v>
      </c>
      <c r="B1424" t="s">
        <v>3381</v>
      </c>
      <c r="C1424">
        <v>49.75</v>
      </c>
      <c r="D1424">
        <v>54.75</v>
      </c>
      <c r="E1424">
        <v>49.75</v>
      </c>
      <c r="F1424">
        <v>53.8</v>
      </c>
      <c r="G1424">
        <v>54.75</v>
      </c>
      <c r="H1424">
        <v>52.35</v>
      </c>
      <c r="I1424">
        <v>36000</v>
      </c>
      <c r="J1424">
        <v>1929700</v>
      </c>
      <c r="K1424" s="13">
        <v>43994</v>
      </c>
      <c r="L1424">
        <v>13</v>
      </c>
      <c r="M1424" t="s">
        <v>3855</v>
      </c>
    </row>
    <row r="1425" spans="1:13" x14ac:dyDescent="0.35">
      <c r="A1425" t="s">
        <v>2362</v>
      </c>
      <c r="B1425" t="s">
        <v>18</v>
      </c>
      <c r="C1425">
        <v>198</v>
      </c>
      <c r="D1425">
        <v>213</v>
      </c>
      <c r="E1425">
        <v>196.6</v>
      </c>
      <c r="F1425">
        <v>207.9</v>
      </c>
      <c r="G1425">
        <v>207.1</v>
      </c>
      <c r="H1425">
        <v>207.8</v>
      </c>
      <c r="I1425">
        <v>12824</v>
      </c>
      <c r="J1425">
        <v>2600081.75</v>
      </c>
      <c r="K1425" s="13">
        <v>43994</v>
      </c>
      <c r="L1425">
        <v>694</v>
      </c>
      <c r="M1425" t="s">
        <v>2363</v>
      </c>
    </row>
    <row r="1426" spans="1:13" x14ac:dyDescent="0.35">
      <c r="A1426" t="s">
        <v>2364</v>
      </c>
      <c r="B1426" t="s">
        <v>18</v>
      </c>
      <c r="C1426">
        <v>1.6</v>
      </c>
      <c r="D1426">
        <v>1.7</v>
      </c>
      <c r="E1426">
        <v>1.6</v>
      </c>
      <c r="F1426">
        <v>1.7</v>
      </c>
      <c r="G1426">
        <v>1.7</v>
      </c>
      <c r="H1426">
        <v>1.65</v>
      </c>
      <c r="I1426">
        <v>36683222</v>
      </c>
      <c r="J1426">
        <v>59841931.549999997</v>
      </c>
      <c r="K1426" s="13">
        <v>43994</v>
      </c>
      <c r="L1426">
        <v>5040</v>
      </c>
      <c r="M1426" t="s">
        <v>2365</v>
      </c>
    </row>
    <row r="1427" spans="1:13" x14ac:dyDescent="0.35">
      <c r="A1427" t="s">
        <v>2366</v>
      </c>
      <c r="B1427" t="s">
        <v>18</v>
      </c>
      <c r="C1427">
        <v>0.95</v>
      </c>
      <c r="D1427">
        <v>0.95</v>
      </c>
      <c r="E1427">
        <v>0.95</v>
      </c>
      <c r="F1427">
        <v>0.95</v>
      </c>
      <c r="G1427">
        <v>0.95</v>
      </c>
      <c r="H1427">
        <v>0.9</v>
      </c>
      <c r="I1427">
        <v>14155</v>
      </c>
      <c r="J1427">
        <v>13447.25</v>
      </c>
      <c r="K1427" s="13">
        <v>43994</v>
      </c>
      <c r="L1427">
        <v>19</v>
      </c>
      <c r="M1427" t="s">
        <v>2367</v>
      </c>
    </row>
    <row r="1428" spans="1:13" x14ac:dyDescent="0.35">
      <c r="A1428" t="s">
        <v>2368</v>
      </c>
      <c r="B1428" t="s">
        <v>18</v>
      </c>
      <c r="C1428">
        <v>49.1</v>
      </c>
      <c r="D1428">
        <v>52</v>
      </c>
      <c r="E1428">
        <v>49.1</v>
      </c>
      <c r="F1428">
        <v>51.7</v>
      </c>
      <c r="G1428">
        <v>52</v>
      </c>
      <c r="H1428">
        <v>53.05</v>
      </c>
      <c r="I1428">
        <v>86688</v>
      </c>
      <c r="J1428">
        <v>4421963.2</v>
      </c>
      <c r="K1428" s="13">
        <v>43994</v>
      </c>
      <c r="L1428">
        <v>1097</v>
      </c>
      <c r="M1428" t="s">
        <v>2369</v>
      </c>
    </row>
    <row r="1429" spans="1:13" x14ac:dyDescent="0.35">
      <c r="A1429" t="s">
        <v>3856</v>
      </c>
      <c r="B1429" t="s">
        <v>3391</v>
      </c>
      <c r="C1429">
        <v>1.5</v>
      </c>
      <c r="D1429">
        <v>1.55</v>
      </c>
      <c r="E1429">
        <v>1.5</v>
      </c>
      <c r="F1429">
        <v>1.55</v>
      </c>
      <c r="G1429">
        <v>1.55</v>
      </c>
      <c r="H1429">
        <v>1.55</v>
      </c>
      <c r="I1429">
        <v>11332</v>
      </c>
      <c r="J1429">
        <v>17050.5</v>
      </c>
      <c r="K1429" s="13">
        <v>43994</v>
      </c>
      <c r="L1429">
        <v>15</v>
      </c>
      <c r="M1429" t="s">
        <v>3857</v>
      </c>
    </row>
    <row r="1430" spans="1:13" x14ac:dyDescent="0.35">
      <c r="A1430" t="s">
        <v>2370</v>
      </c>
      <c r="B1430" t="s">
        <v>18</v>
      </c>
      <c r="C1430">
        <v>4.2</v>
      </c>
      <c r="D1430">
        <v>4.45</v>
      </c>
      <c r="E1430">
        <v>4.05</v>
      </c>
      <c r="F1430">
        <v>4.45</v>
      </c>
      <c r="G1430">
        <v>4.45</v>
      </c>
      <c r="H1430">
        <v>4.25</v>
      </c>
      <c r="I1430">
        <v>686567</v>
      </c>
      <c r="J1430">
        <v>2960612</v>
      </c>
      <c r="K1430" s="13">
        <v>43994</v>
      </c>
      <c r="L1430">
        <v>678</v>
      </c>
      <c r="M1430" t="s">
        <v>2371</v>
      </c>
    </row>
    <row r="1431" spans="1:13" x14ac:dyDescent="0.35">
      <c r="A1431" t="s">
        <v>2372</v>
      </c>
      <c r="B1431" t="s">
        <v>18</v>
      </c>
      <c r="C1431">
        <v>51.1</v>
      </c>
      <c r="D1431">
        <v>54.7</v>
      </c>
      <c r="E1431">
        <v>51.1</v>
      </c>
      <c r="F1431">
        <v>53.65</v>
      </c>
      <c r="G1431">
        <v>53.7</v>
      </c>
      <c r="H1431">
        <v>53.05</v>
      </c>
      <c r="I1431">
        <v>1331</v>
      </c>
      <c r="J1431">
        <v>70997.399999999994</v>
      </c>
      <c r="K1431" s="13">
        <v>43994</v>
      </c>
      <c r="L1431">
        <v>37</v>
      </c>
      <c r="M1431" t="s">
        <v>2373</v>
      </c>
    </row>
    <row r="1432" spans="1:13" x14ac:dyDescent="0.35">
      <c r="A1432" t="s">
        <v>2374</v>
      </c>
      <c r="B1432" t="s">
        <v>18</v>
      </c>
      <c r="C1432">
        <v>250</v>
      </c>
      <c r="D1432">
        <v>265</v>
      </c>
      <c r="E1432">
        <v>250</v>
      </c>
      <c r="F1432">
        <v>261.45</v>
      </c>
      <c r="G1432">
        <v>260.95</v>
      </c>
      <c r="H1432">
        <v>268.2</v>
      </c>
      <c r="I1432">
        <v>74567</v>
      </c>
      <c r="J1432">
        <v>19339162.5</v>
      </c>
      <c r="K1432" s="13">
        <v>43994</v>
      </c>
      <c r="L1432">
        <v>2472</v>
      </c>
      <c r="M1432" t="s">
        <v>2375</v>
      </c>
    </row>
    <row r="1433" spans="1:13" x14ac:dyDescent="0.35">
      <c r="A1433" t="s">
        <v>2376</v>
      </c>
      <c r="B1433" t="s">
        <v>18</v>
      </c>
      <c r="C1433">
        <v>2.65</v>
      </c>
      <c r="D1433">
        <v>2.7</v>
      </c>
      <c r="E1433">
        <v>2.6</v>
      </c>
      <c r="F1433">
        <v>2.6</v>
      </c>
      <c r="G1433">
        <v>2.6</v>
      </c>
      <c r="H1433">
        <v>2.7</v>
      </c>
      <c r="I1433">
        <v>10858049</v>
      </c>
      <c r="J1433">
        <v>28275873.300000001</v>
      </c>
      <c r="K1433" s="13">
        <v>43994</v>
      </c>
      <c r="L1433">
        <v>8914</v>
      </c>
      <c r="M1433" t="s">
        <v>2377</v>
      </c>
    </row>
    <row r="1434" spans="1:13" x14ac:dyDescent="0.35">
      <c r="A1434" t="s">
        <v>2378</v>
      </c>
      <c r="B1434" t="s">
        <v>18</v>
      </c>
      <c r="C1434">
        <v>51.6</v>
      </c>
      <c r="D1434">
        <v>58.4</v>
      </c>
      <c r="E1434">
        <v>51.6</v>
      </c>
      <c r="F1434">
        <v>57</v>
      </c>
      <c r="G1434">
        <v>56.55</v>
      </c>
      <c r="H1434">
        <v>57.2</v>
      </c>
      <c r="I1434">
        <v>13782</v>
      </c>
      <c r="J1434">
        <v>761698</v>
      </c>
      <c r="K1434" s="13">
        <v>43994</v>
      </c>
      <c r="L1434">
        <v>149</v>
      </c>
      <c r="M1434" t="s">
        <v>2379</v>
      </c>
    </row>
    <row r="1435" spans="1:13" x14ac:dyDescent="0.35">
      <c r="A1435" t="s">
        <v>3858</v>
      </c>
      <c r="B1435" t="s">
        <v>3381</v>
      </c>
      <c r="C1435">
        <v>55.1</v>
      </c>
      <c r="D1435">
        <v>55.1</v>
      </c>
      <c r="E1435">
        <v>55.1</v>
      </c>
      <c r="F1435">
        <v>55.1</v>
      </c>
      <c r="G1435">
        <v>55.1</v>
      </c>
      <c r="H1435">
        <v>58</v>
      </c>
      <c r="I1435">
        <v>1000</v>
      </c>
      <c r="J1435">
        <v>55100</v>
      </c>
      <c r="K1435" s="13">
        <v>43994</v>
      </c>
      <c r="L1435">
        <v>1</v>
      </c>
      <c r="M1435" t="s">
        <v>3859</v>
      </c>
    </row>
    <row r="1436" spans="1:13" x14ac:dyDescent="0.35">
      <c r="A1436" t="s">
        <v>2380</v>
      </c>
      <c r="B1436" t="s">
        <v>18</v>
      </c>
      <c r="C1436">
        <v>14.1</v>
      </c>
      <c r="D1436">
        <v>14.1</v>
      </c>
      <c r="E1436">
        <v>13.65</v>
      </c>
      <c r="F1436">
        <v>13.65</v>
      </c>
      <c r="G1436">
        <v>13.95</v>
      </c>
      <c r="H1436">
        <v>14.35</v>
      </c>
      <c r="I1436">
        <v>35401</v>
      </c>
      <c r="J1436">
        <v>486333.65</v>
      </c>
      <c r="K1436" s="13">
        <v>43994</v>
      </c>
      <c r="L1436">
        <v>199</v>
      </c>
      <c r="M1436" t="s">
        <v>2381</v>
      </c>
    </row>
    <row r="1437" spans="1:13" x14ac:dyDescent="0.35">
      <c r="A1437" t="s">
        <v>2382</v>
      </c>
      <c r="B1437" t="s">
        <v>18</v>
      </c>
      <c r="C1437">
        <v>71</v>
      </c>
      <c r="D1437">
        <v>72.400000000000006</v>
      </c>
      <c r="E1437">
        <v>69</v>
      </c>
      <c r="F1437">
        <v>70.95</v>
      </c>
      <c r="G1437">
        <v>71</v>
      </c>
      <c r="H1437">
        <v>73.150000000000006</v>
      </c>
      <c r="I1437">
        <v>25695</v>
      </c>
      <c r="J1437">
        <v>1823902</v>
      </c>
      <c r="K1437" s="13">
        <v>43994</v>
      </c>
      <c r="L1437">
        <v>654</v>
      </c>
      <c r="M1437" t="s">
        <v>2383</v>
      </c>
    </row>
    <row r="1438" spans="1:13" x14ac:dyDescent="0.35">
      <c r="A1438" t="s">
        <v>2384</v>
      </c>
      <c r="B1438" t="s">
        <v>18</v>
      </c>
      <c r="C1438">
        <v>94.6</v>
      </c>
      <c r="D1438">
        <v>101</v>
      </c>
      <c r="E1438">
        <v>92.9</v>
      </c>
      <c r="F1438">
        <v>98.85</v>
      </c>
      <c r="G1438">
        <v>101</v>
      </c>
      <c r="H1438">
        <v>96.5</v>
      </c>
      <c r="I1438">
        <v>20696</v>
      </c>
      <c r="J1438">
        <v>1985963.35</v>
      </c>
      <c r="K1438" s="13">
        <v>43994</v>
      </c>
      <c r="L1438">
        <v>270</v>
      </c>
      <c r="M1438" t="s">
        <v>2385</v>
      </c>
    </row>
    <row r="1439" spans="1:13" x14ac:dyDescent="0.35">
      <c r="A1439" t="s">
        <v>2386</v>
      </c>
      <c r="B1439" t="s">
        <v>18</v>
      </c>
      <c r="C1439">
        <v>2.5</v>
      </c>
      <c r="D1439">
        <v>2.5</v>
      </c>
      <c r="E1439">
        <v>2.2999999999999998</v>
      </c>
      <c r="F1439">
        <v>2.35</v>
      </c>
      <c r="G1439">
        <v>2.35</v>
      </c>
      <c r="H1439">
        <v>2.4</v>
      </c>
      <c r="I1439">
        <v>615002</v>
      </c>
      <c r="J1439">
        <v>1432763.4</v>
      </c>
      <c r="K1439" s="13">
        <v>43994</v>
      </c>
      <c r="L1439">
        <v>360</v>
      </c>
      <c r="M1439" t="s">
        <v>2387</v>
      </c>
    </row>
    <row r="1440" spans="1:13" x14ac:dyDescent="0.35">
      <c r="A1440" t="s">
        <v>2388</v>
      </c>
      <c r="B1440" t="s">
        <v>18</v>
      </c>
      <c r="C1440">
        <v>1.6</v>
      </c>
      <c r="D1440">
        <v>1.65</v>
      </c>
      <c r="E1440">
        <v>1.6</v>
      </c>
      <c r="F1440">
        <v>1.65</v>
      </c>
      <c r="G1440">
        <v>1.65</v>
      </c>
      <c r="H1440">
        <v>1.65</v>
      </c>
      <c r="I1440">
        <v>4848192</v>
      </c>
      <c r="J1440">
        <v>7801296.7000000002</v>
      </c>
      <c r="K1440" s="13">
        <v>43994</v>
      </c>
      <c r="L1440">
        <v>1746</v>
      </c>
      <c r="M1440" t="s">
        <v>2389</v>
      </c>
    </row>
    <row r="1441" spans="1:13" x14ac:dyDescent="0.35">
      <c r="A1441" t="s">
        <v>2390</v>
      </c>
      <c r="B1441" t="s">
        <v>18</v>
      </c>
      <c r="C1441">
        <v>158.15</v>
      </c>
      <c r="D1441">
        <v>168.95</v>
      </c>
      <c r="E1441">
        <v>158.15</v>
      </c>
      <c r="F1441">
        <v>164.1</v>
      </c>
      <c r="G1441">
        <v>163.9</v>
      </c>
      <c r="H1441">
        <v>165.1</v>
      </c>
      <c r="I1441">
        <v>1270</v>
      </c>
      <c r="J1441">
        <v>206973.9</v>
      </c>
      <c r="K1441" s="13">
        <v>43994</v>
      </c>
      <c r="L1441">
        <v>165</v>
      </c>
      <c r="M1441" t="s">
        <v>2391</v>
      </c>
    </row>
    <row r="1442" spans="1:13" x14ac:dyDescent="0.35">
      <c r="A1442" t="s">
        <v>3860</v>
      </c>
      <c r="B1442" t="s">
        <v>3391</v>
      </c>
      <c r="C1442">
        <v>898</v>
      </c>
      <c r="D1442">
        <v>933.1</v>
      </c>
      <c r="E1442">
        <v>844.3</v>
      </c>
      <c r="F1442">
        <v>933.1</v>
      </c>
      <c r="G1442">
        <v>933.1</v>
      </c>
      <c r="H1442">
        <v>888.7</v>
      </c>
      <c r="I1442">
        <v>146254</v>
      </c>
      <c r="J1442">
        <v>129757544.59999999</v>
      </c>
      <c r="K1442" s="13">
        <v>43994</v>
      </c>
      <c r="L1442">
        <v>7927</v>
      </c>
      <c r="M1442" t="s">
        <v>3861</v>
      </c>
    </row>
    <row r="1443" spans="1:13" x14ac:dyDescent="0.35">
      <c r="A1443" t="s">
        <v>3862</v>
      </c>
      <c r="B1443" t="s">
        <v>3391</v>
      </c>
      <c r="C1443">
        <v>13.3</v>
      </c>
      <c r="D1443">
        <v>13.3</v>
      </c>
      <c r="E1443">
        <v>13.3</v>
      </c>
      <c r="F1443">
        <v>13.3</v>
      </c>
      <c r="G1443">
        <v>13.3</v>
      </c>
      <c r="H1443">
        <v>12.7</v>
      </c>
      <c r="I1443">
        <v>69570</v>
      </c>
      <c r="J1443">
        <v>925281</v>
      </c>
      <c r="K1443" s="13">
        <v>43994</v>
      </c>
      <c r="L1443">
        <v>77</v>
      </c>
      <c r="M1443" t="s">
        <v>3863</v>
      </c>
    </row>
    <row r="1444" spans="1:13" x14ac:dyDescent="0.35">
      <c r="A1444" t="s">
        <v>2392</v>
      </c>
      <c r="B1444" t="s">
        <v>18</v>
      </c>
      <c r="C1444">
        <v>43.05</v>
      </c>
      <c r="D1444">
        <v>49.7</v>
      </c>
      <c r="E1444">
        <v>42.1</v>
      </c>
      <c r="F1444">
        <v>47.5</v>
      </c>
      <c r="G1444">
        <v>47.2</v>
      </c>
      <c r="H1444">
        <v>45.4</v>
      </c>
      <c r="I1444">
        <v>94303</v>
      </c>
      <c r="J1444">
        <v>4261842.7</v>
      </c>
      <c r="K1444" s="13">
        <v>43994</v>
      </c>
      <c r="L1444">
        <v>1456</v>
      </c>
      <c r="M1444" t="s">
        <v>2393</v>
      </c>
    </row>
    <row r="1445" spans="1:13" x14ac:dyDescent="0.35">
      <c r="A1445" t="s">
        <v>2394</v>
      </c>
      <c r="B1445" t="s">
        <v>18</v>
      </c>
      <c r="C1445">
        <v>155.1</v>
      </c>
      <c r="D1445">
        <v>168.9</v>
      </c>
      <c r="E1445">
        <v>155</v>
      </c>
      <c r="F1445">
        <v>163.15</v>
      </c>
      <c r="G1445">
        <v>162.6</v>
      </c>
      <c r="H1445">
        <v>165.25</v>
      </c>
      <c r="I1445">
        <v>43463</v>
      </c>
      <c r="J1445">
        <v>7025338.0999999996</v>
      </c>
      <c r="K1445" s="13">
        <v>43994</v>
      </c>
      <c r="L1445">
        <v>1704</v>
      </c>
      <c r="M1445" t="s">
        <v>2395</v>
      </c>
    </row>
    <row r="1446" spans="1:13" x14ac:dyDescent="0.35">
      <c r="A1446" t="s">
        <v>2396</v>
      </c>
      <c r="B1446" t="s">
        <v>18</v>
      </c>
      <c r="C1446">
        <v>115.6</v>
      </c>
      <c r="D1446">
        <v>127</v>
      </c>
      <c r="E1446">
        <v>115.6</v>
      </c>
      <c r="F1446">
        <v>126.2</v>
      </c>
      <c r="G1446">
        <v>126.4</v>
      </c>
      <c r="H1446">
        <v>127.55</v>
      </c>
      <c r="I1446">
        <v>10443</v>
      </c>
      <c r="J1446">
        <v>1270425.55</v>
      </c>
      <c r="K1446" s="13">
        <v>43994</v>
      </c>
      <c r="L1446">
        <v>315</v>
      </c>
      <c r="M1446" t="s">
        <v>2397</v>
      </c>
    </row>
    <row r="1447" spans="1:13" x14ac:dyDescent="0.35">
      <c r="A1447" t="s">
        <v>2398</v>
      </c>
      <c r="B1447" t="s">
        <v>18</v>
      </c>
      <c r="C1447">
        <v>17.350000000000001</v>
      </c>
      <c r="D1447">
        <v>18.45</v>
      </c>
      <c r="E1447">
        <v>17.3</v>
      </c>
      <c r="F1447">
        <v>18.3</v>
      </c>
      <c r="G1447">
        <v>18.350000000000001</v>
      </c>
      <c r="H1447">
        <v>18.600000000000001</v>
      </c>
      <c r="I1447">
        <v>5464606</v>
      </c>
      <c r="J1447">
        <v>98733537.700000003</v>
      </c>
      <c r="K1447" s="13">
        <v>43994</v>
      </c>
      <c r="L1447">
        <v>19926</v>
      </c>
      <c r="M1447" t="s">
        <v>2399</v>
      </c>
    </row>
    <row r="1448" spans="1:13" x14ac:dyDescent="0.35">
      <c r="A1448" t="s">
        <v>3864</v>
      </c>
      <c r="B1448" t="s">
        <v>3391</v>
      </c>
      <c r="C1448">
        <v>17</v>
      </c>
      <c r="D1448">
        <v>17.399999999999999</v>
      </c>
      <c r="E1448">
        <v>16.5</v>
      </c>
      <c r="F1448">
        <v>17.399999999999999</v>
      </c>
      <c r="G1448">
        <v>17.100000000000001</v>
      </c>
      <c r="H1448">
        <v>17.3</v>
      </c>
      <c r="I1448">
        <v>2350</v>
      </c>
      <c r="J1448">
        <v>38981.599999999999</v>
      </c>
      <c r="K1448" s="13">
        <v>43994</v>
      </c>
      <c r="L1448">
        <v>22</v>
      </c>
      <c r="M1448" t="s">
        <v>3865</v>
      </c>
    </row>
    <row r="1449" spans="1:13" x14ac:dyDescent="0.35">
      <c r="A1449" t="s">
        <v>3866</v>
      </c>
      <c r="B1449" t="s">
        <v>3391</v>
      </c>
      <c r="C1449">
        <v>1.2</v>
      </c>
      <c r="D1449">
        <v>1.2</v>
      </c>
      <c r="E1449">
        <v>1.1499999999999999</v>
      </c>
      <c r="F1449">
        <v>1.1499999999999999</v>
      </c>
      <c r="G1449">
        <v>1.1499999999999999</v>
      </c>
      <c r="H1449">
        <v>1.1499999999999999</v>
      </c>
      <c r="I1449">
        <v>28001</v>
      </c>
      <c r="J1449">
        <v>32206.2</v>
      </c>
      <c r="K1449" s="13">
        <v>43994</v>
      </c>
      <c r="L1449">
        <v>11</v>
      </c>
      <c r="M1449" t="s">
        <v>3867</v>
      </c>
    </row>
    <row r="1450" spans="1:13" x14ac:dyDescent="0.35">
      <c r="A1450" t="s">
        <v>3868</v>
      </c>
      <c r="B1450" t="s">
        <v>3391</v>
      </c>
      <c r="C1450">
        <v>1.5</v>
      </c>
      <c r="D1450">
        <v>1.5</v>
      </c>
      <c r="E1450">
        <v>1.45</v>
      </c>
      <c r="F1450">
        <v>1.45</v>
      </c>
      <c r="G1450">
        <v>1.45</v>
      </c>
      <c r="H1450">
        <v>1.5</v>
      </c>
      <c r="I1450">
        <v>5610</v>
      </c>
      <c r="J1450">
        <v>8363</v>
      </c>
      <c r="K1450" s="13">
        <v>43994</v>
      </c>
      <c r="L1450">
        <v>16</v>
      </c>
      <c r="M1450" t="s">
        <v>3869</v>
      </c>
    </row>
    <row r="1451" spans="1:13" x14ac:dyDescent="0.35">
      <c r="A1451" t="s">
        <v>2400</v>
      </c>
      <c r="B1451" t="s">
        <v>18</v>
      </c>
      <c r="C1451">
        <v>42.65</v>
      </c>
      <c r="D1451">
        <v>43.5</v>
      </c>
      <c r="E1451">
        <v>42.65</v>
      </c>
      <c r="F1451">
        <v>42.95</v>
      </c>
      <c r="G1451">
        <v>42.9</v>
      </c>
      <c r="H1451">
        <v>44.85</v>
      </c>
      <c r="I1451">
        <v>495703</v>
      </c>
      <c r="J1451">
        <v>21182270.25</v>
      </c>
      <c r="K1451" s="13">
        <v>43994</v>
      </c>
      <c r="L1451">
        <v>1750</v>
      </c>
      <c r="M1451" t="s">
        <v>2401</v>
      </c>
    </row>
    <row r="1452" spans="1:13" x14ac:dyDescent="0.35">
      <c r="A1452" t="s">
        <v>2402</v>
      </c>
      <c r="B1452" t="s">
        <v>18</v>
      </c>
      <c r="C1452">
        <v>15.5</v>
      </c>
      <c r="D1452">
        <v>15.5</v>
      </c>
      <c r="E1452">
        <v>14.85</v>
      </c>
      <c r="F1452">
        <v>15.3</v>
      </c>
      <c r="G1452">
        <v>15.45</v>
      </c>
      <c r="H1452">
        <v>15.6</v>
      </c>
      <c r="I1452">
        <v>109307</v>
      </c>
      <c r="J1452">
        <v>1650177.15</v>
      </c>
      <c r="K1452" s="13">
        <v>43994</v>
      </c>
      <c r="L1452">
        <v>400</v>
      </c>
      <c r="M1452" t="s">
        <v>2403</v>
      </c>
    </row>
    <row r="1453" spans="1:13" x14ac:dyDescent="0.35">
      <c r="A1453" t="s">
        <v>2404</v>
      </c>
      <c r="B1453" t="s">
        <v>18</v>
      </c>
      <c r="C1453">
        <v>338.55</v>
      </c>
      <c r="D1453">
        <v>375</v>
      </c>
      <c r="E1453">
        <v>338.55</v>
      </c>
      <c r="F1453">
        <v>366.45</v>
      </c>
      <c r="G1453">
        <v>374.7</v>
      </c>
      <c r="H1453">
        <v>364.7</v>
      </c>
      <c r="I1453">
        <v>14001</v>
      </c>
      <c r="J1453">
        <v>4943299.5999999996</v>
      </c>
      <c r="K1453" s="13">
        <v>43994</v>
      </c>
      <c r="L1453">
        <v>1575</v>
      </c>
      <c r="M1453" t="s">
        <v>2405</v>
      </c>
    </row>
    <row r="1454" spans="1:13" x14ac:dyDescent="0.35">
      <c r="A1454" t="s">
        <v>2406</v>
      </c>
      <c r="B1454" t="s">
        <v>18</v>
      </c>
      <c r="C1454">
        <v>92.5</v>
      </c>
      <c r="D1454">
        <v>93</v>
      </c>
      <c r="E1454">
        <v>91.9</v>
      </c>
      <c r="F1454">
        <v>92.7</v>
      </c>
      <c r="G1454">
        <v>92.7</v>
      </c>
      <c r="H1454">
        <v>92.25</v>
      </c>
      <c r="I1454">
        <v>15117</v>
      </c>
      <c r="J1454">
        <v>1399214.85</v>
      </c>
      <c r="K1454" s="13">
        <v>43994</v>
      </c>
      <c r="L1454">
        <v>170</v>
      </c>
      <c r="M1454" t="s">
        <v>2407</v>
      </c>
    </row>
    <row r="1455" spans="1:13" x14ac:dyDescent="0.35">
      <c r="A1455" t="s">
        <v>2408</v>
      </c>
      <c r="B1455" t="s">
        <v>18</v>
      </c>
      <c r="C1455">
        <v>350</v>
      </c>
      <c r="D1455">
        <v>357.25</v>
      </c>
      <c r="E1455">
        <v>336.65</v>
      </c>
      <c r="F1455">
        <v>352.65</v>
      </c>
      <c r="G1455">
        <v>351.5</v>
      </c>
      <c r="H1455">
        <v>355.25</v>
      </c>
      <c r="I1455">
        <v>30985</v>
      </c>
      <c r="J1455">
        <v>10775562.800000001</v>
      </c>
      <c r="K1455" s="13">
        <v>43994</v>
      </c>
      <c r="L1455">
        <v>1213</v>
      </c>
      <c r="M1455" t="s">
        <v>2409</v>
      </c>
    </row>
    <row r="1456" spans="1:13" x14ac:dyDescent="0.35">
      <c r="A1456" t="s">
        <v>2410</v>
      </c>
      <c r="B1456" t="s">
        <v>18</v>
      </c>
      <c r="C1456">
        <v>28.35</v>
      </c>
      <c r="D1456">
        <v>30.5</v>
      </c>
      <c r="E1456">
        <v>28.35</v>
      </c>
      <c r="F1456">
        <v>30.35</v>
      </c>
      <c r="G1456">
        <v>30.4</v>
      </c>
      <c r="H1456">
        <v>30</v>
      </c>
      <c r="I1456">
        <v>22376269</v>
      </c>
      <c r="J1456">
        <v>662640313.20000005</v>
      </c>
      <c r="K1456" s="13">
        <v>43994</v>
      </c>
      <c r="L1456">
        <v>29871</v>
      </c>
      <c r="M1456" t="s">
        <v>2411</v>
      </c>
    </row>
    <row r="1457" spans="1:13" x14ac:dyDescent="0.35">
      <c r="A1457" t="s">
        <v>2412</v>
      </c>
      <c r="B1457" t="s">
        <v>18</v>
      </c>
      <c r="C1457">
        <v>47</v>
      </c>
      <c r="D1457">
        <v>61.7</v>
      </c>
      <c r="E1457">
        <v>46.2</v>
      </c>
      <c r="F1457">
        <v>51.65</v>
      </c>
      <c r="G1457">
        <v>51.65</v>
      </c>
      <c r="H1457">
        <v>51.7</v>
      </c>
      <c r="I1457">
        <v>829</v>
      </c>
      <c r="J1457">
        <v>42060.05</v>
      </c>
      <c r="K1457" s="13">
        <v>43994</v>
      </c>
      <c r="L1457">
        <v>42</v>
      </c>
      <c r="M1457" t="s">
        <v>2413</v>
      </c>
    </row>
    <row r="1458" spans="1:13" x14ac:dyDescent="0.35">
      <c r="A1458" t="s">
        <v>2414</v>
      </c>
      <c r="B1458" t="s">
        <v>18</v>
      </c>
      <c r="C1458">
        <v>11</v>
      </c>
      <c r="D1458">
        <v>11.45</v>
      </c>
      <c r="E1458">
        <v>11</v>
      </c>
      <c r="F1458">
        <v>11.25</v>
      </c>
      <c r="G1458">
        <v>11.15</v>
      </c>
      <c r="H1458">
        <v>11.55</v>
      </c>
      <c r="I1458">
        <v>216212</v>
      </c>
      <c r="J1458">
        <v>2409955.0499999998</v>
      </c>
      <c r="K1458" s="13">
        <v>43994</v>
      </c>
      <c r="L1458">
        <v>550</v>
      </c>
      <c r="M1458" t="s">
        <v>2415</v>
      </c>
    </row>
    <row r="1459" spans="1:13" x14ac:dyDescent="0.35">
      <c r="A1459" t="s">
        <v>2416</v>
      </c>
      <c r="B1459" t="s">
        <v>18</v>
      </c>
      <c r="C1459">
        <v>173</v>
      </c>
      <c r="D1459">
        <v>187.9</v>
      </c>
      <c r="E1459">
        <v>171.95</v>
      </c>
      <c r="F1459">
        <v>182.65</v>
      </c>
      <c r="G1459">
        <v>182.05</v>
      </c>
      <c r="H1459">
        <v>185.3</v>
      </c>
      <c r="I1459">
        <v>14631</v>
      </c>
      <c r="J1459">
        <v>2640575.9</v>
      </c>
      <c r="K1459" s="13">
        <v>43994</v>
      </c>
      <c r="L1459">
        <v>576</v>
      </c>
      <c r="M1459" t="s">
        <v>2417</v>
      </c>
    </row>
    <row r="1460" spans="1:13" x14ac:dyDescent="0.35">
      <c r="A1460" t="s">
        <v>3870</v>
      </c>
      <c r="B1460" t="s">
        <v>3391</v>
      </c>
      <c r="C1460">
        <v>7.95</v>
      </c>
      <c r="D1460">
        <v>7.95</v>
      </c>
      <c r="E1460">
        <v>7.95</v>
      </c>
      <c r="F1460">
        <v>7.95</v>
      </c>
      <c r="G1460">
        <v>7.95</v>
      </c>
      <c r="H1460">
        <v>8.35</v>
      </c>
      <c r="I1460">
        <v>90842</v>
      </c>
      <c r="J1460">
        <v>722193.9</v>
      </c>
      <c r="K1460" s="13">
        <v>43994</v>
      </c>
      <c r="L1460">
        <v>435</v>
      </c>
      <c r="M1460" t="s">
        <v>3871</v>
      </c>
    </row>
    <row r="1461" spans="1:13" x14ac:dyDescent="0.35">
      <c r="A1461" t="s">
        <v>3872</v>
      </c>
      <c r="B1461" t="s">
        <v>3391</v>
      </c>
      <c r="C1461">
        <v>104</v>
      </c>
      <c r="D1461">
        <v>114</v>
      </c>
      <c r="E1461">
        <v>104</v>
      </c>
      <c r="F1461">
        <v>112.95</v>
      </c>
      <c r="G1461">
        <v>113.9</v>
      </c>
      <c r="H1461">
        <v>108.85</v>
      </c>
      <c r="I1461">
        <v>45458</v>
      </c>
      <c r="J1461">
        <v>4948887.45</v>
      </c>
      <c r="K1461" s="13">
        <v>43994</v>
      </c>
      <c r="L1461">
        <v>261</v>
      </c>
      <c r="M1461" t="s">
        <v>3873</v>
      </c>
    </row>
    <row r="1462" spans="1:13" x14ac:dyDescent="0.35">
      <c r="A1462" t="s">
        <v>2418</v>
      </c>
      <c r="B1462" t="s">
        <v>18</v>
      </c>
      <c r="C1462">
        <v>57</v>
      </c>
      <c r="D1462">
        <v>57</v>
      </c>
      <c r="E1462">
        <v>55.25</v>
      </c>
      <c r="F1462">
        <v>56.8</v>
      </c>
      <c r="G1462">
        <v>56.8</v>
      </c>
      <c r="H1462">
        <v>57</v>
      </c>
      <c r="I1462">
        <v>565</v>
      </c>
      <c r="J1462">
        <v>31317.1</v>
      </c>
      <c r="K1462" s="13">
        <v>43994</v>
      </c>
      <c r="L1462">
        <v>8</v>
      </c>
      <c r="M1462" t="s">
        <v>2419</v>
      </c>
    </row>
    <row r="1463" spans="1:13" x14ac:dyDescent="0.35">
      <c r="A1463" t="s">
        <v>3874</v>
      </c>
      <c r="B1463" t="s">
        <v>3391</v>
      </c>
      <c r="C1463">
        <v>2.5</v>
      </c>
      <c r="D1463">
        <v>2.7</v>
      </c>
      <c r="E1463">
        <v>2.5</v>
      </c>
      <c r="F1463">
        <v>2.5</v>
      </c>
      <c r="G1463">
        <v>2.7</v>
      </c>
      <c r="H1463">
        <v>2.6</v>
      </c>
      <c r="I1463">
        <v>7960</v>
      </c>
      <c r="J1463">
        <v>19922.599999999999</v>
      </c>
      <c r="K1463" s="13">
        <v>43994</v>
      </c>
      <c r="L1463">
        <v>19</v>
      </c>
      <c r="M1463" t="s">
        <v>3875</v>
      </c>
    </row>
    <row r="1464" spans="1:13" x14ac:dyDescent="0.35">
      <c r="A1464" t="s">
        <v>2420</v>
      </c>
      <c r="B1464" t="s">
        <v>18</v>
      </c>
      <c r="C1464">
        <v>71.3</v>
      </c>
      <c r="D1464">
        <v>82.95</v>
      </c>
      <c r="E1464">
        <v>71.25</v>
      </c>
      <c r="F1464">
        <v>80.05</v>
      </c>
      <c r="G1464">
        <v>79.150000000000006</v>
      </c>
      <c r="H1464">
        <v>76.599999999999994</v>
      </c>
      <c r="I1464">
        <v>91267</v>
      </c>
      <c r="J1464">
        <v>7049636.5999999996</v>
      </c>
      <c r="K1464" s="13">
        <v>43994</v>
      </c>
      <c r="L1464">
        <v>1889</v>
      </c>
      <c r="M1464" t="s">
        <v>2421</v>
      </c>
    </row>
    <row r="1465" spans="1:13" x14ac:dyDescent="0.35">
      <c r="A1465" t="s">
        <v>2422</v>
      </c>
      <c r="B1465" t="s">
        <v>18</v>
      </c>
      <c r="C1465">
        <v>2.2999999999999998</v>
      </c>
      <c r="D1465">
        <v>2.2999999999999998</v>
      </c>
      <c r="E1465">
        <v>2.2000000000000002</v>
      </c>
      <c r="F1465">
        <v>2.2000000000000002</v>
      </c>
      <c r="G1465">
        <v>2.2000000000000002</v>
      </c>
      <c r="H1465">
        <v>2.2999999999999998</v>
      </c>
      <c r="I1465">
        <v>54285</v>
      </c>
      <c r="J1465">
        <v>120677.05</v>
      </c>
      <c r="K1465" s="13">
        <v>43994</v>
      </c>
      <c r="L1465">
        <v>51</v>
      </c>
      <c r="M1465" t="s">
        <v>2423</v>
      </c>
    </row>
    <row r="1466" spans="1:13" x14ac:dyDescent="0.35">
      <c r="A1466" t="s">
        <v>2424</v>
      </c>
      <c r="B1466" t="s">
        <v>18</v>
      </c>
      <c r="C1466">
        <v>11</v>
      </c>
      <c r="D1466">
        <v>11.45</v>
      </c>
      <c r="E1466">
        <v>10.9</v>
      </c>
      <c r="F1466">
        <v>11.15</v>
      </c>
      <c r="G1466">
        <v>11.2</v>
      </c>
      <c r="H1466">
        <v>11.35</v>
      </c>
      <c r="I1466">
        <v>1681</v>
      </c>
      <c r="J1466">
        <v>18656.75</v>
      </c>
      <c r="K1466" s="13">
        <v>43994</v>
      </c>
      <c r="L1466">
        <v>64</v>
      </c>
      <c r="M1466" t="s">
        <v>2425</v>
      </c>
    </row>
    <row r="1467" spans="1:13" x14ac:dyDescent="0.35">
      <c r="A1467" t="s">
        <v>2426</v>
      </c>
      <c r="B1467" t="s">
        <v>18</v>
      </c>
      <c r="C1467">
        <v>486</v>
      </c>
      <c r="D1467">
        <v>505.95</v>
      </c>
      <c r="E1467">
        <v>486</v>
      </c>
      <c r="F1467">
        <v>503.9</v>
      </c>
      <c r="G1467">
        <v>503.9</v>
      </c>
      <c r="H1467">
        <v>497.1</v>
      </c>
      <c r="I1467">
        <v>206</v>
      </c>
      <c r="J1467">
        <v>101451.35</v>
      </c>
      <c r="K1467" s="13">
        <v>43994</v>
      </c>
      <c r="L1467">
        <v>24</v>
      </c>
      <c r="M1467" t="s">
        <v>2427</v>
      </c>
    </row>
    <row r="1468" spans="1:13" x14ac:dyDescent="0.35">
      <c r="A1468" t="s">
        <v>2428</v>
      </c>
      <c r="B1468" t="s">
        <v>18</v>
      </c>
      <c r="C1468">
        <v>159</v>
      </c>
      <c r="D1468">
        <v>199</v>
      </c>
      <c r="E1468">
        <v>158.05000000000001</v>
      </c>
      <c r="F1468">
        <v>186.85</v>
      </c>
      <c r="G1468">
        <v>183.65</v>
      </c>
      <c r="H1468">
        <v>167.6</v>
      </c>
      <c r="I1468">
        <v>149808</v>
      </c>
      <c r="J1468">
        <v>28342922.850000001</v>
      </c>
      <c r="K1468" s="13">
        <v>43994</v>
      </c>
      <c r="L1468">
        <v>5446</v>
      </c>
      <c r="M1468" t="s">
        <v>2429</v>
      </c>
    </row>
    <row r="1469" spans="1:13" x14ac:dyDescent="0.35">
      <c r="A1469" t="s">
        <v>2430</v>
      </c>
      <c r="B1469" t="s">
        <v>18</v>
      </c>
      <c r="C1469">
        <v>43.05</v>
      </c>
      <c r="D1469">
        <v>47.55</v>
      </c>
      <c r="E1469">
        <v>41.4</v>
      </c>
      <c r="F1469">
        <v>47.2</v>
      </c>
      <c r="G1469">
        <v>47.2</v>
      </c>
      <c r="H1469">
        <v>43.95</v>
      </c>
      <c r="I1469">
        <v>23813</v>
      </c>
      <c r="J1469">
        <v>1098691.1499999999</v>
      </c>
      <c r="K1469" s="13">
        <v>43994</v>
      </c>
      <c r="L1469">
        <v>244</v>
      </c>
      <c r="M1469" t="s">
        <v>2431</v>
      </c>
    </row>
    <row r="1470" spans="1:13" x14ac:dyDescent="0.35">
      <c r="A1470" t="s">
        <v>2432</v>
      </c>
      <c r="B1470" t="s">
        <v>18</v>
      </c>
      <c r="C1470">
        <v>19.3</v>
      </c>
      <c r="D1470">
        <v>20.95</v>
      </c>
      <c r="E1470">
        <v>18.649999999999999</v>
      </c>
      <c r="F1470">
        <v>20.8</v>
      </c>
      <c r="G1470">
        <v>20.85</v>
      </c>
      <c r="H1470">
        <v>20.2</v>
      </c>
      <c r="I1470">
        <v>1252678</v>
      </c>
      <c r="J1470">
        <v>25355282.75</v>
      </c>
      <c r="K1470" s="13">
        <v>43994</v>
      </c>
      <c r="L1470">
        <v>2120</v>
      </c>
      <c r="M1470" t="s">
        <v>2433</v>
      </c>
    </row>
    <row r="1471" spans="1:13" x14ac:dyDescent="0.35">
      <c r="A1471" t="s">
        <v>2434</v>
      </c>
      <c r="B1471" t="s">
        <v>18</v>
      </c>
      <c r="C1471">
        <v>13.5</v>
      </c>
      <c r="D1471">
        <v>14.5</v>
      </c>
      <c r="E1471">
        <v>13.5</v>
      </c>
      <c r="F1471">
        <v>14.45</v>
      </c>
      <c r="G1471">
        <v>13.65</v>
      </c>
      <c r="H1471">
        <v>13.85</v>
      </c>
      <c r="I1471">
        <v>829</v>
      </c>
      <c r="J1471">
        <v>11928.8</v>
      </c>
      <c r="K1471" s="13">
        <v>43994</v>
      </c>
      <c r="L1471">
        <v>20</v>
      </c>
      <c r="M1471" t="s">
        <v>2435</v>
      </c>
    </row>
    <row r="1472" spans="1:13" x14ac:dyDescent="0.35">
      <c r="A1472" t="s">
        <v>2436</v>
      </c>
      <c r="B1472" t="s">
        <v>18</v>
      </c>
      <c r="C1472">
        <v>54.05</v>
      </c>
      <c r="D1472">
        <v>59</v>
      </c>
      <c r="E1472">
        <v>51.75</v>
      </c>
      <c r="F1472">
        <v>58.25</v>
      </c>
      <c r="G1472">
        <v>56.95</v>
      </c>
      <c r="H1472">
        <v>56.4</v>
      </c>
      <c r="I1472">
        <v>13826</v>
      </c>
      <c r="J1472">
        <v>779541.55</v>
      </c>
      <c r="K1472" s="13">
        <v>43994</v>
      </c>
      <c r="L1472">
        <v>232</v>
      </c>
      <c r="M1472" t="s">
        <v>2437</v>
      </c>
    </row>
    <row r="1473" spans="1:13" x14ac:dyDescent="0.35">
      <c r="A1473" t="s">
        <v>2438</v>
      </c>
      <c r="B1473" t="s">
        <v>18</v>
      </c>
      <c r="C1473">
        <v>82</v>
      </c>
      <c r="D1473">
        <v>84.45</v>
      </c>
      <c r="E1473">
        <v>76.25</v>
      </c>
      <c r="F1473">
        <v>83.8</v>
      </c>
      <c r="G1473">
        <v>82.9</v>
      </c>
      <c r="H1473">
        <v>83.9</v>
      </c>
      <c r="I1473">
        <v>45308</v>
      </c>
      <c r="J1473">
        <v>3784729.75</v>
      </c>
      <c r="K1473" s="13">
        <v>43994</v>
      </c>
      <c r="L1473">
        <v>655</v>
      </c>
      <c r="M1473" t="s">
        <v>2439</v>
      </c>
    </row>
    <row r="1474" spans="1:13" x14ac:dyDescent="0.35">
      <c r="A1474" t="s">
        <v>2440</v>
      </c>
      <c r="B1474" t="s">
        <v>18</v>
      </c>
      <c r="C1474">
        <v>7800</v>
      </c>
      <c r="D1474">
        <v>8000</v>
      </c>
      <c r="E1474">
        <v>7800</v>
      </c>
      <c r="F1474">
        <v>7956.95</v>
      </c>
      <c r="G1474">
        <v>7955</v>
      </c>
      <c r="H1474">
        <v>7920.65</v>
      </c>
      <c r="I1474">
        <v>30094</v>
      </c>
      <c r="J1474">
        <v>238665681.40000001</v>
      </c>
      <c r="K1474" s="13">
        <v>43994</v>
      </c>
      <c r="L1474">
        <v>5784</v>
      </c>
      <c r="M1474" t="s">
        <v>2441</v>
      </c>
    </row>
    <row r="1475" spans="1:13" x14ac:dyDescent="0.35">
      <c r="A1475" t="s">
        <v>3876</v>
      </c>
      <c r="B1475" t="s">
        <v>3391</v>
      </c>
      <c r="C1475">
        <v>2.35</v>
      </c>
      <c r="D1475">
        <v>2.35</v>
      </c>
      <c r="E1475">
        <v>2.35</v>
      </c>
      <c r="F1475">
        <v>2.35</v>
      </c>
      <c r="G1475">
        <v>2.35</v>
      </c>
      <c r="H1475">
        <v>2.4500000000000002</v>
      </c>
      <c r="I1475">
        <v>892155</v>
      </c>
      <c r="J1475">
        <v>2096564.25</v>
      </c>
      <c r="K1475" s="13">
        <v>43994</v>
      </c>
      <c r="L1475">
        <v>854</v>
      </c>
      <c r="M1475" t="s">
        <v>3877</v>
      </c>
    </row>
    <row r="1476" spans="1:13" x14ac:dyDescent="0.35">
      <c r="A1476" t="s">
        <v>2442</v>
      </c>
      <c r="B1476" t="s">
        <v>18</v>
      </c>
      <c r="C1476">
        <v>161</v>
      </c>
      <c r="D1476">
        <v>179</v>
      </c>
      <c r="E1476">
        <v>158.1</v>
      </c>
      <c r="F1476">
        <v>175.15</v>
      </c>
      <c r="G1476">
        <v>176</v>
      </c>
      <c r="H1476">
        <v>167.8</v>
      </c>
      <c r="I1476">
        <v>102713</v>
      </c>
      <c r="J1476">
        <v>17647067.850000001</v>
      </c>
      <c r="K1476" s="13">
        <v>43994</v>
      </c>
      <c r="L1476">
        <v>2824</v>
      </c>
      <c r="M1476" t="s">
        <v>2443</v>
      </c>
    </row>
    <row r="1477" spans="1:13" x14ac:dyDescent="0.35">
      <c r="A1477" t="s">
        <v>2444</v>
      </c>
      <c r="B1477" t="s">
        <v>18</v>
      </c>
      <c r="C1477">
        <v>405</v>
      </c>
      <c r="D1477">
        <v>430</v>
      </c>
      <c r="E1477">
        <v>400</v>
      </c>
      <c r="F1477">
        <v>423.9</v>
      </c>
      <c r="G1477">
        <v>420</v>
      </c>
      <c r="H1477">
        <v>424.85</v>
      </c>
      <c r="I1477">
        <v>33003</v>
      </c>
      <c r="J1477">
        <v>13689725.949999999</v>
      </c>
      <c r="K1477" s="13">
        <v>43994</v>
      </c>
      <c r="L1477">
        <v>1660</v>
      </c>
      <c r="M1477" t="s">
        <v>2445</v>
      </c>
    </row>
    <row r="1478" spans="1:13" x14ac:dyDescent="0.35">
      <c r="A1478" t="s">
        <v>2446</v>
      </c>
      <c r="B1478" t="s">
        <v>18</v>
      </c>
      <c r="C1478">
        <v>17</v>
      </c>
      <c r="D1478">
        <v>17.5</v>
      </c>
      <c r="E1478">
        <v>16.25</v>
      </c>
      <c r="F1478">
        <v>17.350000000000001</v>
      </c>
      <c r="G1478">
        <v>17.5</v>
      </c>
      <c r="H1478">
        <v>17.149999999999999</v>
      </c>
      <c r="I1478">
        <v>50335</v>
      </c>
      <c r="J1478">
        <v>851229.05</v>
      </c>
      <c r="K1478" s="13">
        <v>43994</v>
      </c>
      <c r="L1478">
        <v>216</v>
      </c>
      <c r="M1478" t="s">
        <v>2447</v>
      </c>
    </row>
    <row r="1479" spans="1:13" x14ac:dyDescent="0.35">
      <c r="A1479" t="s">
        <v>3878</v>
      </c>
      <c r="B1479" t="s">
        <v>3381</v>
      </c>
      <c r="C1479">
        <v>11.4</v>
      </c>
      <c r="D1479">
        <v>11.4</v>
      </c>
      <c r="E1479">
        <v>11.4</v>
      </c>
      <c r="F1479">
        <v>11.4</v>
      </c>
      <c r="G1479">
        <v>11.4</v>
      </c>
      <c r="H1479">
        <v>11.95</v>
      </c>
      <c r="I1479">
        <v>1600</v>
      </c>
      <c r="J1479">
        <v>18240</v>
      </c>
      <c r="K1479" s="13">
        <v>43994</v>
      </c>
      <c r="L1479">
        <v>1</v>
      </c>
      <c r="M1479" t="s">
        <v>3879</v>
      </c>
    </row>
    <row r="1480" spans="1:13" x14ac:dyDescent="0.35">
      <c r="A1480" t="s">
        <v>2448</v>
      </c>
      <c r="B1480" t="s">
        <v>18</v>
      </c>
      <c r="C1480">
        <v>431.8</v>
      </c>
      <c r="D1480">
        <v>449</v>
      </c>
      <c r="E1480">
        <v>416.75</v>
      </c>
      <c r="F1480">
        <v>436</v>
      </c>
      <c r="G1480">
        <v>435</v>
      </c>
      <c r="H1480">
        <v>441.95</v>
      </c>
      <c r="I1480">
        <v>10288</v>
      </c>
      <c r="J1480">
        <v>4457441.0999999996</v>
      </c>
      <c r="K1480" s="13">
        <v>43994</v>
      </c>
      <c r="L1480">
        <v>827</v>
      </c>
      <c r="M1480" t="s">
        <v>2449</v>
      </c>
    </row>
    <row r="1481" spans="1:13" x14ac:dyDescent="0.35">
      <c r="A1481" t="s">
        <v>2450</v>
      </c>
      <c r="B1481" t="s">
        <v>18</v>
      </c>
      <c r="C1481">
        <v>72.25</v>
      </c>
      <c r="D1481">
        <v>79</v>
      </c>
      <c r="E1481">
        <v>72.25</v>
      </c>
      <c r="F1481">
        <v>78.95</v>
      </c>
      <c r="G1481">
        <v>79</v>
      </c>
      <c r="H1481">
        <v>74.2</v>
      </c>
      <c r="I1481">
        <v>2603</v>
      </c>
      <c r="J1481">
        <v>201586.6</v>
      </c>
      <c r="K1481" s="13">
        <v>43994</v>
      </c>
      <c r="L1481">
        <v>111</v>
      </c>
      <c r="M1481" t="s">
        <v>2451</v>
      </c>
    </row>
    <row r="1482" spans="1:13" x14ac:dyDescent="0.35">
      <c r="A1482" t="s">
        <v>2452</v>
      </c>
      <c r="B1482" t="s">
        <v>18</v>
      </c>
      <c r="C1482">
        <v>77.7</v>
      </c>
      <c r="D1482">
        <v>79.900000000000006</v>
      </c>
      <c r="E1482">
        <v>74.099999999999994</v>
      </c>
      <c r="F1482">
        <v>78.599999999999994</v>
      </c>
      <c r="G1482">
        <v>78.349999999999994</v>
      </c>
      <c r="H1482">
        <v>77.7</v>
      </c>
      <c r="I1482">
        <v>9887</v>
      </c>
      <c r="J1482">
        <v>757965.95</v>
      </c>
      <c r="K1482" s="13">
        <v>43994</v>
      </c>
      <c r="L1482">
        <v>455</v>
      </c>
      <c r="M1482" t="s">
        <v>2453</v>
      </c>
    </row>
    <row r="1483" spans="1:13" x14ac:dyDescent="0.35">
      <c r="A1483" t="s">
        <v>2454</v>
      </c>
      <c r="B1483" t="s">
        <v>18</v>
      </c>
      <c r="C1483">
        <v>81.2</v>
      </c>
      <c r="D1483">
        <v>81.2</v>
      </c>
      <c r="E1483">
        <v>73.5</v>
      </c>
      <c r="F1483">
        <v>81.2</v>
      </c>
      <c r="G1483">
        <v>81.2</v>
      </c>
      <c r="H1483">
        <v>77.349999999999994</v>
      </c>
      <c r="I1483">
        <v>481783</v>
      </c>
      <c r="J1483">
        <v>37434776.600000001</v>
      </c>
      <c r="K1483" s="13">
        <v>43994</v>
      </c>
      <c r="L1483">
        <v>2463</v>
      </c>
      <c r="M1483" t="s">
        <v>2455</v>
      </c>
    </row>
    <row r="1484" spans="1:13" x14ac:dyDescent="0.35">
      <c r="A1484" t="s">
        <v>2456</v>
      </c>
      <c r="B1484" t="s">
        <v>18</v>
      </c>
      <c r="C1484">
        <v>552.5</v>
      </c>
      <c r="D1484">
        <v>594.5</v>
      </c>
      <c r="E1484">
        <v>552.5</v>
      </c>
      <c r="F1484">
        <v>590.45000000000005</v>
      </c>
      <c r="G1484">
        <v>589</v>
      </c>
      <c r="H1484">
        <v>591.04999999999995</v>
      </c>
      <c r="I1484">
        <v>2363476</v>
      </c>
      <c r="J1484">
        <v>1366197780.55</v>
      </c>
      <c r="K1484" s="13">
        <v>43994</v>
      </c>
      <c r="L1484">
        <v>106426</v>
      </c>
      <c r="M1484" t="s">
        <v>2457</v>
      </c>
    </row>
    <row r="1485" spans="1:13" x14ac:dyDescent="0.35">
      <c r="A1485" t="s">
        <v>2458</v>
      </c>
      <c r="B1485" t="s">
        <v>18</v>
      </c>
      <c r="C1485">
        <v>88.62</v>
      </c>
      <c r="D1485">
        <v>92</v>
      </c>
      <c r="E1485">
        <v>85</v>
      </c>
      <c r="F1485">
        <v>91.43</v>
      </c>
      <c r="G1485">
        <v>91.49</v>
      </c>
      <c r="H1485">
        <v>90.89</v>
      </c>
      <c r="I1485">
        <v>10047</v>
      </c>
      <c r="J1485">
        <v>888131.15</v>
      </c>
      <c r="K1485" s="13">
        <v>43994</v>
      </c>
      <c r="L1485">
        <v>132</v>
      </c>
      <c r="M1485" t="s">
        <v>2459</v>
      </c>
    </row>
    <row r="1486" spans="1:13" x14ac:dyDescent="0.35">
      <c r="A1486" t="s">
        <v>2460</v>
      </c>
      <c r="B1486" t="s">
        <v>18</v>
      </c>
      <c r="C1486">
        <v>730</v>
      </c>
      <c r="D1486">
        <v>760.9</v>
      </c>
      <c r="E1486">
        <v>728.75</v>
      </c>
      <c r="F1486">
        <v>750.45</v>
      </c>
      <c r="G1486">
        <v>750.8</v>
      </c>
      <c r="H1486">
        <v>740.9</v>
      </c>
      <c r="I1486">
        <v>4396304</v>
      </c>
      <c r="J1486">
        <v>3297285945.25</v>
      </c>
      <c r="K1486" s="13">
        <v>43994</v>
      </c>
      <c r="L1486">
        <v>69597</v>
      </c>
      <c r="M1486" t="s">
        <v>2461</v>
      </c>
    </row>
    <row r="1487" spans="1:13" x14ac:dyDescent="0.35">
      <c r="A1487" t="s">
        <v>56</v>
      </c>
      <c r="B1487" t="s">
        <v>18</v>
      </c>
      <c r="C1487">
        <v>170</v>
      </c>
      <c r="D1487">
        <v>180</v>
      </c>
      <c r="E1487">
        <v>169.8</v>
      </c>
      <c r="F1487">
        <v>179.15</v>
      </c>
      <c r="G1487">
        <v>178.85</v>
      </c>
      <c r="H1487">
        <v>177.15</v>
      </c>
      <c r="I1487">
        <v>92761694</v>
      </c>
      <c r="J1487">
        <v>16193569563.9</v>
      </c>
      <c r="K1487" s="13">
        <v>43994</v>
      </c>
      <c r="L1487">
        <v>424338</v>
      </c>
      <c r="M1487" t="s">
        <v>2462</v>
      </c>
    </row>
    <row r="1488" spans="1:13" x14ac:dyDescent="0.35">
      <c r="A1488" t="s">
        <v>56</v>
      </c>
      <c r="B1488" t="s">
        <v>3430</v>
      </c>
      <c r="C1488">
        <v>11240</v>
      </c>
      <c r="D1488">
        <v>11280</v>
      </c>
      <c r="E1488">
        <v>11164</v>
      </c>
      <c r="F1488">
        <v>11201.47</v>
      </c>
      <c r="G1488">
        <v>11200</v>
      </c>
      <c r="H1488">
        <v>11215.55</v>
      </c>
      <c r="I1488">
        <v>61</v>
      </c>
      <c r="J1488">
        <v>683064.29</v>
      </c>
      <c r="K1488" s="13">
        <v>43994</v>
      </c>
      <c r="L1488">
        <v>11</v>
      </c>
      <c r="M1488" t="s">
        <v>3880</v>
      </c>
    </row>
    <row r="1489" spans="1:13" x14ac:dyDescent="0.35">
      <c r="A1489" t="s">
        <v>56</v>
      </c>
      <c r="B1489" t="s">
        <v>3514</v>
      </c>
      <c r="C1489">
        <v>11800</v>
      </c>
      <c r="D1489">
        <v>12299</v>
      </c>
      <c r="E1489">
        <v>11445</v>
      </c>
      <c r="F1489">
        <v>11483.53</v>
      </c>
      <c r="G1489">
        <v>11487.9</v>
      </c>
      <c r="H1489">
        <v>11450.01</v>
      </c>
      <c r="I1489">
        <v>408</v>
      </c>
      <c r="J1489">
        <v>4687371.33</v>
      </c>
      <c r="K1489" s="13">
        <v>43994</v>
      </c>
      <c r="L1489">
        <v>70</v>
      </c>
      <c r="M1489" t="s">
        <v>3881</v>
      </c>
    </row>
    <row r="1490" spans="1:13" x14ac:dyDescent="0.35">
      <c r="A1490" t="s">
        <v>56</v>
      </c>
      <c r="B1490" t="s">
        <v>3452</v>
      </c>
      <c r="C1490">
        <v>11340</v>
      </c>
      <c r="D1490">
        <v>11340</v>
      </c>
      <c r="E1490">
        <v>11340</v>
      </c>
      <c r="F1490">
        <v>11340</v>
      </c>
      <c r="G1490">
        <v>11340</v>
      </c>
      <c r="H1490">
        <v>11300</v>
      </c>
      <c r="I1490">
        <v>2</v>
      </c>
      <c r="J1490">
        <v>22680</v>
      </c>
      <c r="K1490" s="13">
        <v>43994</v>
      </c>
      <c r="L1490">
        <v>1</v>
      </c>
      <c r="M1490" t="s">
        <v>3882</v>
      </c>
    </row>
    <row r="1491" spans="1:13" x14ac:dyDescent="0.35">
      <c r="A1491" t="s">
        <v>2463</v>
      </c>
      <c r="B1491" t="s">
        <v>18</v>
      </c>
      <c r="C1491">
        <v>0.55000000000000004</v>
      </c>
      <c r="D1491">
        <v>0.55000000000000004</v>
      </c>
      <c r="E1491">
        <v>0.5</v>
      </c>
      <c r="F1491">
        <v>0.55000000000000004</v>
      </c>
      <c r="G1491">
        <v>0.5</v>
      </c>
      <c r="H1491">
        <v>0.55000000000000004</v>
      </c>
      <c r="I1491">
        <v>368950</v>
      </c>
      <c r="J1491">
        <v>196902.9</v>
      </c>
      <c r="K1491" s="13">
        <v>43994</v>
      </c>
      <c r="L1491">
        <v>90</v>
      </c>
      <c r="M1491" t="s">
        <v>2464</v>
      </c>
    </row>
    <row r="1492" spans="1:13" x14ac:dyDescent="0.35">
      <c r="A1492" t="s">
        <v>2465</v>
      </c>
      <c r="B1492" t="s">
        <v>18</v>
      </c>
      <c r="C1492">
        <v>3425.05</v>
      </c>
      <c r="D1492">
        <v>3681.75</v>
      </c>
      <c r="E1492">
        <v>3400</v>
      </c>
      <c r="F1492">
        <v>3542.65</v>
      </c>
      <c r="G1492">
        <v>3600</v>
      </c>
      <c r="H1492">
        <v>3549.25</v>
      </c>
      <c r="I1492">
        <v>11760</v>
      </c>
      <c r="J1492">
        <v>41477000.450000003</v>
      </c>
      <c r="K1492" s="13">
        <v>43994</v>
      </c>
      <c r="L1492">
        <v>2267</v>
      </c>
      <c r="M1492" t="s">
        <v>2466</v>
      </c>
    </row>
    <row r="1493" spans="1:13" x14ac:dyDescent="0.35">
      <c r="A1493" t="s">
        <v>3883</v>
      </c>
      <c r="B1493" t="s">
        <v>3391</v>
      </c>
      <c r="C1493">
        <v>42.8</v>
      </c>
      <c r="D1493">
        <v>44.85</v>
      </c>
      <c r="E1493">
        <v>42.8</v>
      </c>
      <c r="F1493">
        <v>44.55</v>
      </c>
      <c r="G1493">
        <v>44.75</v>
      </c>
      <c r="H1493">
        <v>45.05</v>
      </c>
      <c r="I1493">
        <v>28559</v>
      </c>
      <c r="J1493">
        <v>1243574.45</v>
      </c>
      <c r="K1493" s="13">
        <v>43994</v>
      </c>
      <c r="L1493">
        <v>160</v>
      </c>
      <c r="M1493" t="s">
        <v>3884</v>
      </c>
    </row>
    <row r="1494" spans="1:13" x14ac:dyDescent="0.35">
      <c r="A1494" t="s">
        <v>2467</v>
      </c>
      <c r="B1494" t="s">
        <v>18</v>
      </c>
      <c r="C1494">
        <v>86.6</v>
      </c>
      <c r="D1494">
        <v>93.25</v>
      </c>
      <c r="E1494">
        <v>86.6</v>
      </c>
      <c r="F1494">
        <v>92.45</v>
      </c>
      <c r="G1494">
        <v>92.15</v>
      </c>
      <c r="H1494">
        <v>90.5</v>
      </c>
      <c r="I1494">
        <v>640961</v>
      </c>
      <c r="J1494">
        <v>57246287.75</v>
      </c>
      <c r="K1494" s="13">
        <v>43994</v>
      </c>
      <c r="L1494">
        <v>6046</v>
      </c>
      <c r="M1494" t="s">
        <v>2468</v>
      </c>
    </row>
    <row r="1495" spans="1:13" x14ac:dyDescent="0.35">
      <c r="A1495" t="s">
        <v>2469</v>
      </c>
      <c r="B1495" t="s">
        <v>18</v>
      </c>
      <c r="C1495">
        <v>45</v>
      </c>
      <c r="D1495">
        <v>46.9</v>
      </c>
      <c r="E1495">
        <v>44.95</v>
      </c>
      <c r="F1495">
        <v>46.35</v>
      </c>
      <c r="G1495">
        <v>46.35</v>
      </c>
      <c r="H1495">
        <v>47.45</v>
      </c>
      <c r="I1495">
        <v>1471215</v>
      </c>
      <c r="J1495">
        <v>67953470.400000006</v>
      </c>
      <c r="K1495" s="13">
        <v>43994</v>
      </c>
      <c r="L1495">
        <v>6284</v>
      </c>
      <c r="M1495" t="s">
        <v>2470</v>
      </c>
    </row>
    <row r="1496" spans="1:13" x14ac:dyDescent="0.35">
      <c r="A1496" t="s">
        <v>3885</v>
      </c>
      <c r="B1496" t="s">
        <v>3386</v>
      </c>
      <c r="C1496">
        <v>9.4</v>
      </c>
      <c r="D1496">
        <v>9.68</v>
      </c>
      <c r="E1496">
        <v>9.4</v>
      </c>
      <c r="F1496">
        <v>9.68</v>
      </c>
      <c r="G1496">
        <v>9.68</v>
      </c>
      <c r="H1496">
        <v>8.8000000000000007</v>
      </c>
      <c r="I1496">
        <v>20000</v>
      </c>
      <c r="J1496">
        <v>191120</v>
      </c>
      <c r="K1496" s="13">
        <v>43994</v>
      </c>
      <c r="L1496">
        <v>6</v>
      </c>
      <c r="M1496" t="s">
        <v>3886</v>
      </c>
    </row>
    <row r="1497" spans="1:13" x14ac:dyDescent="0.35">
      <c r="A1497" t="s">
        <v>3887</v>
      </c>
      <c r="B1497" t="s">
        <v>3391</v>
      </c>
      <c r="C1497">
        <v>71</v>
      </c>
      <c r="D1497">
        <v>73.25</v>
      </c>
      <c r="E1497">
        <v>68.150000000000006</v>
      </c>
      <c r="F1497">
        <v>71.3</v>
      </c>
      <c r="G1497">
        <v>73.25</v>
      </c>
      <c r="H1497">
        <v>71.650000000000006</v>
      </c>
      <c r="I1497">
        <v>18908</v>
      </c>
      <c r="J1497">
        <v>1317254.6499999999</v>
      </c>
      <c r="K1497" s="13">
        <v>43994</v>
      </c>
      <c r="L1497">
        <v>195</v>
      </c>
      <c r="M1497" t="s">
        <v>3888</v>
      </c>
    </row>
    <row r="1498" spans="1:13" x14ac:dyDescent="0.35">
      <c r="A1498" t="s">
        <v>2471</v>
      </c>
      <c r="B1498" t="s">
        <v>18</v>
      </c>
      <c r="C1498">
        <v>355.05</v>
      </c>
      <c r="D1498">
        <v>383</v>
      </c>
      <c r="E1498">
        <v>347.05</v>
      </c>
      <c r="F1498">
        <v>375.15</v>
      </c>
      <c r="G1498">
        <v>366</v>
      </c>
      <c r="H1498">
        <v>374.4</v>
      </c>
      <c r="I1498">
        <v>1754</v>
      </c>
      <c r="J1498">
        <v>647458.55000000005</v>
      </c>
      <c r="K1498" s="13">
        <v>43994</v>
      </c>
      <c r="L1498">
        <v>160</v>
      </c>
      <c r="M1498" t="s">
        <v>2472</v>
      </c>
    </row>
    <row r="1499" spans="1:13" x14ac:dyDescent="0.35">
      <c r="A1499" t="s">
        <v>3889</v>
      </c>
      <c r="B1499" t="s">
        <v>3381</v>
      </c>
      <c r="C1499">
        <v>26.35</v>
      </c>
      <c r="D1499">
        <v>38.450000000000003</v>
      </c>
      <c r="E1499">
        <v>26.35</v>
      </c>
      <c r="F1499">
        <v>38.450000000000003</v>
      </c>
      <c r="G1499">
        <v>38.450000000000003</v>
      </c>
      <c r="H1499">
        <v>32.9</v>
      </c>
      <c r="I1499">
        <v>6000</v>
      </c>
      <c r="J1499">
        <v>194400</v>
      </c>
      <c r="K1499" s="13">
        <v>43994</v>
      </c>
      <c r="L1499">
        <v>2</v>
      </c>
      <c r="M1499" t="s">
        <v>3890</v>
      </c>
    </row>
    <row r="1500" spans="1:13" x14ac:dyDescent="0.35">
      <c r="A1500" t="s">
        <v>3891</v>
      </c>
      <c r="B1500" t="s">
        <v>3381</v>
      </c>
      <c r="C1500">
        <v>18.3</v>
      </c>
      <c r="D1500">
        <v>18.600000000000001</v>
      </c>
      <c r="E1500">
        <v>18.3</v>
      </c>
      <c r="F1500">
        <v>18.55</v>
      </c>
      <c r="G1500">
        <v>18.55</v>
      </c>
      <c r="H1500">
        <v>17.75</v>
      </c>
      <c r="I1500">
        <v>3000</v>
      </c>
      <c r="J1500">
        <v>55590</v>
      </c>
      <c r="K1500" s="13">
        <v>43994</v>
      </c>
      <c r="L1500">
        <v>5</v>
      </c>
      <c r="M1500" t="s">
        <v>3892</v>
      </c>
    </row>
    <row r="1501" spans="1:13" x14ac:dyDescent="0.35">
      <c r="A1501" t="s">
        <v>2473</v>
      </c>
      <c r="B1501" t="s">
        <v>18</v>
      </c>
      <c r="C1501">
        <v>97</v>
      </c>
      <c r="D1501">
        <v>101</v>
      </c>
      <c r="E1501">
        <v>93.5</v>
      </c>
      <c r="F1501">
        <v>99.65</v>
      </c>
      <c r="G1501">
        <v>98.2</v>
      </c>
      <c r="H1501">
        <v>102.65</v>
      </c>
      <c r="I1501">
        <v>37783</v>
      </c>
      <c r="J1501">
        <v>3650997.7</v>
      </c>
      <c r="K1501" s="13">
        <v>43994</v>
      </c>
      <c r="L1501">
        <v>1126</v>
      </c>
      <c r="M1501" t="s">
        <v>2474</v>
      </c>
    </row>
    <row r="1502" spans="1:13" x14ac:dyDescent="0.35">
      <c r="A1502" t="s">
        <v>3893</v>
      </c>
      <c r="B1502" t="s">
        <v>3391</v>
      </c>
      <c r="C1502">
        <v>3.1</v>
      </c>
      <c r="D1502">
        <v>3.1</v>
      </c>
      <c r="E1502">
        <v>2.95</v>
      </c>
      <c r="F1502">
        <v>2.95</v>
      </c>
      <c r="G1502">
        <v>2.95</v>
      </c>
      <c r="H1502">
        <v>3.1</v>
      </c>
      <c r="I1502">
        <v>18548</v>
      </c>
      <c r="J1502">
        <v>54731.6</v>
      </c>
      <c r="K1502" s="13">
        <v>43994</v>
      </c>
      <c r="L1502">
        <v>72</v>
      </c>
      <c r="M1502" t="s">
        <v>3894</v>
      </c>
    </row>
    <row r="1503" spans="1:13" x14ac:dyDescent="0.35">
      <c r="A1503" t="s">
        <v>2475</v>
      </c>
      <c r="B1503" t="s">
        <v>18</v>
      </c>
      <c r="C1503">
        <v>83.3</v>
      </c>
      <c r="D1503">
        <v>86.3</v>
      </c>
      <c r="E1503">
        <v>83.3</v>
      </c>
      <c r="F1503">
        <v>85.2</v>
      </c>
      <c r="G1503">
        <v>85.35</v>
      </c>
      <c r="H1503">
        <v>85.4</v>
      </c>
      <c r="I1503">
        <v>494129</v>
      </c>
      <c r="J1503">
        <v>42064396.5</v>
      </c>
      <c r="K1503" s="13">
        <v>43994</v>
      </c>
      <c r="L1503">
        <v>1906</v>
      </c>
      <c r="M1503" t="s">
        <v>2476</v>
      </c>
    </row>
    <row r="1504" spans="1:13" x14ac:dyDescent="0.35">
      <c r="A1504" t="s">
        <v>3895</v>
      </c>
      <c r="B1504" t="s">
        <v>3381</v>
      </c>
      <c r="C1504">
        <v>13.85</v>
      </c>
      <c r="D1504">
        <v>13.85</v>
      </c>
      <c r="E1504">
        <v>13.85</v>
      </c>
      <c r="F1504">
        <v>13.85</v>
      </c>
      <c r="G1504">
        <v>13.85</v>
      </c>
      <c r="H1504">
        <v>13.3</v>
      </c>
      <c r="I1504">
        <v>4000</v>
      </c>
      <c r="J1504">
        <v>55400</v>
      </c>
      <c r="K1504" s="13">
        <v>43994</v>
      </c>
      <c r="L1504">
        <v>1</v>
      </c>
      <c r="M1504" t="s">
        <v>3896</v>
      </c>
    </row>
    <row r="1505" spans="1:13" x14ac:dyDescent="0.35">
      <c r="A1505" t="s">
        <v>2477</v>
      </c>
      <c r="B1505" t="s">
        <v>18</v>
      </c>
      <c r="C1505">
        <v>145.1</v>
      </c>
      <c r="D1505">
        <v>184.05</v>
      </c>
      <c r="E1505">
        <v>145</v>
      </c>
      <c r="F1505">
        <v>179.5</v>
      </c>
      <c r="G1505">
        <v>184.05</v>
      </c>
      <c r="H1505">
        <v>153.4</v>
      </c>
      <c r="I1505">
        <v>586404</v>
      </c>
      <c r="J1505">
        <v>102784444.59999999</v>
      </c>
      <c r="K1505" s="13">
        <v>43994</v>
      </c>
      <c r="L1505">
        <v>5575</v>
      </c>
      <c r="M1505" t="s">
        <v>2478</v>
      </c>
    </row>
    <row r="1506" spans="1:13" x14ac:dyDescent="0.35">
      <c r="A1506" t="s">
        <v>2479</v>
      </c>
      <c r="B1506" t="s">
        <v>18</v>
      </c>
      <c r="C1506">
        <v>10.25</v>
      </c>
      <c r="D1506">
        <v>10.3</v>
      </c>
      <c r="E1506">
        <v>9.5500000000000007</v>
      </c>
      <c r="F1506">
        <v>10.199999999999999</v>
      </c>
      <c r="G1506">
        <v>10.25</v>
      </c>
      <c r="H1506">
        <v>10.35</v>
      </c>
      <c r="I1506">
        <v>79244</v>
      </c>
      <c r="J1506">
        <v>791694</v>
      </c>
      <c r="K1506" s="13">
        <v>43994</v>
      </c>
      <c r="L1506">
        <v>433</v>
      </c>
      <c r="M1506" t="s">
        <v>2480</v>
      </c>
    </row>
    <row r="1507" spans="1:13" x14ac:dyDescent="0.35">
      <c r="A1507" t="s">
        <v>2481</v>
      </c>
      <c r="B1507" t="s">
        <v>18</v>
      </c>
      <c r="C1507">
        <v>197.75</v>
      </c>
      <c r="D1507">
        <v>199.4</v>
      </c>
      <c r="E1507">
        <v>195.75</v>
      </c>
      <c r="F1507">
        <v>198.5</v>
      </c>
      <c r="G1507">
        <v>198.5</v>
      </c>
      <c r="H1507">
        <v>196.95</v>
      </c>
      <c r="I1507">
        <v>267</v>
      </c>
      <c r="J1507">
        <v>53015.08</v>
      </c>
      <c r="K1507" s="13">
        <v>43994</v>
      </c>
      <c r="L1507">
        <v>15</v>
      </c>
      <c r="M1507" t="s">
        <v>2482</v>
      </c>
    </row>
    <row r="1508" spans="1:13" x14ac:dyDescent="0.35">
      <c r="A1508" t="s">
        <v>2483</v>
      </c>
      <c r="B1508" t="s">
        <v>18</v>
      </c>
      <c r="C1508">
        <v>4309.95</v>
      </c>
      <c r="D1508">
        <v>4309.95</v>
      </c>
      <c r="E1508">
        <v>4260</v>
      </c>
      <c r="F1508">
        <v>4269.75</v>
      </c>
      <c r="G1508">
        <v>4265.25</v>
      </c>
      <c r="H1508">
        <v>4271.6000000000004</v>
      </c>
      <c r="I1508">
        <v>34267</v>
      </c>
      <c r="J1508">
        <v>146497476.05000001</v>
      </c>
      <c r="K1508" s="13">
        <v>43994</v>
      </c>
      <c r="L1508">
        <v>2279</v>
      </c>
      <c r="M1508" t="s">
        <v>2484</v>
      </c>
    </row>
    <row r="1509" spans="1:13" x14ac:dyDescent="0.35">
      <c r="A1509" t="s">
        <v>2485</v>
      </c>
      <c r="B1509" t="s">
        <v>18</v>
      </c>
      <c r="C1509">
        <v>100.5</v>
      </c>
      <c r="D1509">
        <v>102.65</v>
      </c>
      <c r="E1509">
        <v>96.5</v>
      </c>
      <c r="F1509">
        <v>102.39</v>
      </c>
      <c r="G1509">
        <v>102.47</v>
      </c>
      <c r="H1509">
        <v>102.17</v>
      </c>
      <c r="I1509">
        <v>1381192</v>
      </c>
      <c r="J1509">
        <v>138074792.24000001</v>
      </c>
      <c r="K1509" s="13">
        <v>43994</v>
      </c>
      <c r="L1509">
        <v>2535</v>
      </c>
      <c r="M1509" t="s">
        <v>2486</v>
      </c>
    </row>
    <row r="1510" spans="1:13" x14ac:dyDescent="0.35">
      <c r="A1510" t="s">
        <v>2487</v>
      </c>
      <c r="B1510" t="s">
        <v>18</v>
      </c>
      <c r="C1510">
        <v>201</v>
      </c>
      <c r="D1510">
        <v>206.74</v>
      </c>
      <c r="E1510">
        <v>195.66</v>
      </c>
      <c r="F1510">
        <v>206.16</v>
      </c>
      <c r="G1510">
        <v>205.01</v>
      </c>
      <c r="H1510">
        <v>204.21</v>
      </c>
      <c r="I1510">
        <v>292746</v>
      </c>
      <c r="J1510">
        <v>58833974.420000002</v>
      </c>
      <c r="K1510" s="13">
        <v>43994</v>
      </c>
      <c r="L1510">
        <v>1785</v>
      </c>
      <c r="M1510" t="s">
        <v>2488</v>
      </c>
    </row>
    <row r="1511" spans="1:13" x14ac:dyDescent="0.35">
      <c r="A1511" t="s">
        <v>2489</v>
      </c>
      <c r="B1511" t="s">
        <v>18</v>
      </c>
      <c r="C1511">
        <v>254.63</v>
      </c>
      <c r="D1511">
        <v>259.95</v>
      </c>
      <c r="E1511">
        <v>248.95</v>
      </c>
      <c r="F1511">
        <v>257.60000000000002</v>
      </c>
      <c r="G1511">
        <v>259.89999999999998</v>
      </c>
      <c r="H1511">
        <v>259.69</v>
      </c>
      <c r="I1511">
        <v>12683</v>
      </c>
      <c r="J1511">
        <v>3204377.45</v>
      </c>
      <c r="K1511" s="13">
        <v>43994</v>
      </c>
      <c r="L1511">
        <v>349</v>
      </c>
      <c r="M1511" t="s">
        <v>2490</v>
      </c>
    </row>
    <row r="1512" spans="1:13" x14ac:dyDescent="0.35">
      <c r="A1512" t="s">
        <v>3897</v>
      </c>
      <c r="B1512" t="s">
        <v>3391</v>
      </c>
      <c r="C1512">
        <v>0.85</v>
      </c>
      <c r="D1512">
        <v>0.85</v>
      </c>
      <c r="E1512">
        <v>0.8</v>
      </c>
      <c r="F1512">
        <v>0.85</v>
      </c>
      <c r="G1512">
        <v>0.8</v>
      </c>
      <c r="H1512">
        <v>0.85</v>
      </c>
      <c r="I1512">
        <v>112672</v>
      </c>
      <c r="J1512">
        <v>92374.15</v>
      </c>
      <c r="K1512" s="13">
        <v>43994</v>
      </c>
      <c r="L1512">
        <v>61</v>
      </c>
      <c r="M1512" t="s">
        <v>3898</v>
      </c>
    </row>
    <row r="1513" spans="1:13" x14ac:dyDescent="0.35">
      <c r="A1513" t="s">
        <v>2491</v>
      </c>
      <c r="B1513" t="s">
        <v>18</v>
      </c>
      <c r="C1513">
        <v>64</v>
      </c>
      <c r="D1513">
        <v>68</v>
      </c>
      <c r="E1513">
        <v>61.6</v>
      </c>
      <c r="F1513">
        <v>68</v>
      </c>
      <c r="G1513">
        <v>68</v>
      </c>
      <c r="H1513">
        <v>64.8</v>
      </c>
      <c r="I1513">
        <v>128220</v>
      </c>
      <c r="J1513">
        <v>8336329.2999999998</v>
      </c>
      <c r="K1513" s="13">
        <v>43994</v>
      </c>
      <c r="L1513">
        <v>1141</v>
      </c>
      <c r="M1513" t="s">
        <v>2492</v>
      </c>
    </row>
    <row r="1514" spans="1:13" x14ac:dyDescent="0.35">
      <c r="A1514" t="s">
        <v>2493</v>
      </c>
      <c r="B1514" t="s">
        <v>18</v>
      </c>
      <c r="C1514">
        <v>1351</v>
      </c>
      <c r="D1514">
        <v>1399.8</v>
      </c>
      <c r="E1514">
        <v>1350.1</v>
      </c>
      <c r="F1514">
        <v>1391.3</v>
      </c>
      <c r="G1514">
        <v>1391</v>
      </c>
      <c r="H1514">
        <v>1391.5</v>
      </c>
      <c r="I1514">
        <v>4548</v>
      </c>
      <c r="J1514">
        <v>6315516.9000000004</v>
      </c>
      <c r="K1514" s="13">
        <v>43994</v>
      </c>
      <c r="L1514">
        <v>851</v>
      </c>
      <c r="M1514" t="s">
        <v>2494</v>
      </c>
    </row>
    <row r="1515" spans="1:13" x14ac:dyDescent="0.35">
      <c r="A1515" t="s">
        <v>3899</v>
      </c>
      <c r="B1515" t="s">
        <v>3900</v>
      </c>
      <c r="C1515">
        <v>4624</v>
      </c>
      <c r="D1515">
        <v>4632</v>
      </c>
      <c r="E1515">
        <v>4600</v>
      </c>
      <c r="F1515">
        <v>4619.9799999999996</v>
      </c>
      <c r="G1515">
        <v>4631</v>
      </c>
      <c r="H1515">
        <v>4620.91</v>
      </c>
      <c r="I1515">
        <v>1216</v>
      </c>
      <c r="J1515">
        <v>5612242.2400000002</v>
      </c>
      <c r="K1515" s="13">
        <v>43994</v>
      </c>
      <c r="L1515">
        <v>146</v>
      </c>
      <c r="M1515" t="s">
        <v>3901</v>
      </c>
    </row>
    <row r="1516" spans="1:13" x14ac:dyDescent="0.35">
      <c r="A1516" t="s">
        <v>3902</v>
      </c>
      <c r="B1516" t="s">
        <v>3900</v>
      </c>
      <c r="C1516">
        <v>4652</v>
      </c>
      <c r="D1516">
        <v>4720</v>
      </c>
      <c r="E1516">
        <v>4651.05</v>
      </c>
      <c r="F1516">
        <v>4712.0600000000004</v>
      </c>
      <c r="G1516">
        <v>4715</v>
      </c>
      <c r="H1516">
        <v>4675</v>
      </c>
      <c r="I1516">
        <v>375</v>
      </c>
      <c r="J1516">
        <v>1761033.84</v>
      </c>
      <c r="K1516" s="13">
        <v>43994</v>
      </c>
      <c r="L1516">
        <v>35</v>
      </c>
      <c r="M1516" t="s">
        <v>3903</v>
      </c>
    </row>
    <row r="1517" spans="1:13" x14ac:dyDescent="0.35">
      <c r="A1517" t="s">
        <v>3904</v>
      </c>
      <c r="B1517" t="s">
        <v>3900</v>
      </c>
      <c r="C1517">
        <v>4660</v>
      </c>
      <c r="D1517">
        <v>4680</v>
      </c>
      <c r="E1517">
        <v>4660</v>
      </c>
      <c r="F1517">
        <v>4660</v>
      </c>
      <c r="G1517">
        <v>4660</v>
      </c>
      <c r="H1517">
        <v>4620</v>
      </c>
      <c r="I1517">
        <v>32</v>
      </c>
      <c r="J1517">
        <v>149193.29999999999</v>
      </c>
      <c r="K1517" s="13">
        <v>43994</v>
      </c>
      <c r="L1517">
        <v>10</v>
      </c>
      <c r="M1517" t="s">
        <v>3905</v>
      </c>
    </row>
    <row r="1518" spans="1:13" x14ac:dyDescent="0.35">
      <c r="A1518" t="s">
        <v>3906</v>
      </c>
      <c r="B1518" t="s">
        <v>3900</v>
      </c>
      <c r="C1518">
        <v>4624</v>
      </c>
      <c r="D1518">
        <v>4625</v>
      </c>
      <c r="E1518">
        <v>4600.1000000000004</v>
      </c>
      <c r="F1518">
        <v>4625</v>
      </c>
      <c r="G1518">
        <v>4625</v>
      </c>
      <c r="H1518">
        <v>4649</v>
      </c>
      <c r="I1518">
        <v>127</v>
      </c>
      <c r="J1518">
        <v>587184.1</v>
      </c>
      <c r="K1518" s="13">
        <v>43994</v>
      </c>
      <c r="L1518">
        <v>22</v>
      </c>
      <c r="M1518" t="s">
        <v>3907</v>
      </c>
    </row>
    <row r="1519" spans="1:13" x14ac:dyDescent="0.35">
      <c r="A1519" t="s">
        <v>3908</v>
      </c>
      <c r="B1519" t="s">
        <v>3900</v>
      </c>
      <c r="C1519">
        <v>4649</v>
      </c>
      <c r="D1519">
        <v>4649</v>
      </c>
      <c r="E1519">
        <v>4649</v>
      </c>
      <c r="F1519">
        <v>4649</v>
      </c>
      <c r="G1519">
        <v>4649</v>
      </c>
      <c r="H1519">
        <v>4630</v>
      </c>
      <c r="I1519">
        <v>1</v>
      </c>
      <c r="J1519">
        <v>4649</v>
      </c>
      <c r="K1519" s="13">
        <v>43994</v>
      </c>
      <c r="L1519">
        <v>1</v>
      </c>
      <c r="M1519" t="s">
        <v>3909</v>
      </c>
    </row>
    <row r="1520" spans="1:13" x14ac:dyDescent="0.35">
      <c r="A1520" t="s">
        <v>3910</v>
      </c>
      <c r="B1520" t="s">
        <v>3900</v>
      </c>
      <c r="C1520">
        <v>4695</v>
      </c>
      <c r="D1520">
        <v>4695</v>
      </c>
      <c r="E1520">
        <v>4600.01</v>
      </c>
      <c r="F1520">
        <v>4600.01</v>
      </c>
      <c r="G1520">
        <v>4600.01</v>
      </c>
      <c r="H1520">
        <v>4627</v>
      </c>
      <c r="I1520">
        <v>12</v>
      </c>
      <c r="J1520">
        <v>55400.09</v>
      </c>
      <c r="K1520" s="13">
        <v>43994</v>
      </c>
      <c r="L1520">
        <v>3</v>
      </c>
      <c r="M1520" t="s">
        <v>3911</v>
      </c>
    </row>
    <row r="1521" spans="1:13" x14ac:dyDescent="0.35">
      <c r="A1521" t="s">
        <v>3912</v>
      </c>
      <c r="B1521" t="s">
        <v>3900</v>
      </c>
      <c r="C1521">
        <v>4680</v>
      </c>
      <c r="D1521">
        <v>4680</v>
      </c>
      <c r="E1521">
        <v>4680</v>
      </c>
      <c r="F1521">
        <v>4680</v>
      </c>
      <c r="G1521">
        <v>4680</v>
      </c>
      <c r="H1521">
        <v>4660.0200000000004</v>
      </c>
      <c r="I1521">
        <v>15</v>
      </c>
      <c r="J1521">
        <v>70200</v>
      </c>
      <c r="K1521" s="13">
        <v>43994</v>
      </c>
      <c r="L1521">
        <v>5</v>
      </c>
      <c r="M1521" t="s">
        <v>3913</v>
      </c>
    </row>
    <row r="1522" spans="1:13" x14ac:dyDescent="0.35">
      <c r="A1522" t="s">
        <v>3914</v>
      </c>
      <c r="B1522" t="s">
        <v>3900</v>
      </c>
      <c r="C1522">
        <v>4673</v>
      </c>
      <c r="D1522">
        <v>4673</v>
      </c>
      <c r="E1522">
        <v>4617</v>
      </c>
      <c r="F1522">
        <v>4617</v>
      </c>
      <c r="G1522">
        <v>4617</v>
      </c>
      <c r="H1522">
        <v>4621</v>
      </c>
      <c r="I1522">
        <v>5</v>
      </c>
      <c r="J1522">
        <v>23141</v>
      </c>
      <c r="K1522" s="13">
        <v>43994</v>
      </c>
      <c r="L1522">
        <v>3</v>
      </c>
      <c r="M1522" t="s">
        <v>3915</v>
      </c>
    </row>
    <row r="1523" spans="1:13" x14ac:dyDescent="0.35">
      <c r="A1523" t="s">
        <v>3916</v>
      </c>
      <c r="B1523" t="s">
        <v>3900</v>
      </c>
      <c r="C1523">
        <v>4649</v>
      </c>
      <c r="D1523">
        <v>4755</v>
      </c>
      <c r="E1523">
        <v>4571</v>
      </c>
      <c r="F1523">
        <v>4606</v>
      </c>
      <c r="G1523">
        <v>4606</v>
      </c>
      <c r="H1523">
        <v>4560</v>
      </c>
      <c r="I1523">
        <v>81</v>
      </c>
      <c r="J1523">
        <v>375954.09</v>
      </c>
      <c r="K1523" s="13">
        <v>43994</v>
      </c>
      <c r="L1523">
        <v>15</v>
      </c>
      <c r="M1523" t="s">
        <v>3917</v>
      </c>
    </row>
    <row r="1524" spans="1:13" x14ac:dyDescent="0.35">
      <c r="A1524" t="s">
        <v>3918</v>
      </c>
      <c r="B1524" t="s">
        <v>3900</v>
      </c>
      <c r="C1524">
        <v>4636</v>
      </c>
      <c r="D1524">
        <v>4652.1000000000004</v>
      </c>
      <c r="E1524">
        <v>4636</v>
      </c>
      <c r="F1524">
        <v>4644.05</v>
      </c>
      <c r="G1524">
        <v>4652.1000000000004</v>
      </c>
      <c r="H1524">
        <v>4606</v>
      </c>
      <c r="I1524">
        <v>2</v>
      </c>
      <c r="J1524">
        <v>9288.1</v>
      </c>
      <c r="K1524" s="13">
        <v>43994</v>
      </c>
      <c r="L1524">
        <v>2</v>
      </c>
      <c r="M1524" t="s">
        <v>3919</v>
      </c>
    </row>
    <row r="1525" spans="1:13" x14ac:dyDescent="0.35">
      <c r="A1525" t="s">
        <v>3920</v>
      </c>
      <c r="B1525" t="s">
        <v>3900</v>
      </c>
      <c r="C1525">
        <v>4610</v>
      </c>
      <c r="D1525">
        <v>4649</v>
      </c>
      <c r="E1525">
        <v>4610</v>
      </c>
      <c r="F1525">
        <v>4649</v>
      </c>
      <c r="G1525">
        <v>4649</v>
      </c>
      <c r="H1525">
        <v>4650</v>
      </c>
      <c r="I1525">
        <v>15</v>
      </c>
      <c r="J1525">
        <v>69540</v>
      </c>
      <c r="K1525" s="13">
        <v>43994</v>
      </c>
      <c r="L1525">
        <v>2</v>
      </c>
      <c r="M1525" t="s">
        <v>3921</v>
      </c>
    </row>
    <row r="1526" spans="1:13" x14ac:dyDescent="0.35">
      <c r="A1526" t="s">
        <v>3922</v>
      </c>
      <c r="B1526" t="s">
        <v>3900</v>
      </c>
      <c r="C1526">
        <v>4582.01</v>
      </c>
      <c r="D1526">
        <v>4630</v>
      </c>
      <c r="E1526">
        <v>4582</v>
      </c>
      <c r="F1526">
        <v>4630</v>
      </c>
      <c r="G1526">
        <v>4630</v>
      </c>
      <c r="H1526">
        <v>4582</v>
      </c>
      <c r="I1526">
        <v>126</v>
      </c>
      <c r="J1526">
        <v>577852.03</v>
      </c>
      <c r="K1526" s="13">
        <v>43994</v>
      </c>
      <c r="L1526">
        <v>8</v>
      </c>
      <c r="M1526" t="s">
        <v>3923</v>
      </c>
    </row>
    <row r="1527" spans="1:13" x14ac:dyDescent="0.35">
      <c r="A1527" t="s">
        <v>3924</v>
      </c>
      <c r="B1527" t="s">
        <v>3900</v>
      </c>
      <c r="C1527">
        <v>4606</v>
      </c>
      <c r="D1527">
        <v>4689</v>
      </c>
      <c r="E1527">
        <v>4606</v>
      </c>
      <c r="F1527">
        <v>4667.78</v>
      </c>
      <c r="G1527">
        <v>4660</v>
      </c>
      <c r="H1527">
        <v>4621</v>
      </c>
      <c r="I1527">
        <v>84</v>
      </c>
      <c r="J1527">
        <v>391062</v>
      </c>
      <c r="K1527" s="13">
        <v>43994</v>
      </c>
      <c r="L1527">
        <v>13</v>
      </c>
      <c r="M1527" t="s">
        <v>3925</v>
      </c>
    </row>
    <row r="1528" spans="1:13" x14ac:dyDescent="0.35">
      <c r="A1528" t="s">
        <v>3926</v>
      </c>
      <c r="B1528" t="s">
        <v>3900</v>
      </c>
      <c r="C1528">
        <v>4697.99</v>
      </c>
      <c r="D1528">
        <v>4697.99</v>
      </c>
      <c r="E1528">
        <v>4590</v>
      </c>
      <c r="F1528">
        <v>4612.49</v>
      </c>
      <c r="G1528">
        <v>4679.99</v>
      </c>
      <c r="H1528">
        <v>4611.92</v>
      </c>
      <c r="I1528">
        <v>11</v>
      </c>
      <c r="J1528">
        <v>51305.919999999998</v>
      </c>
      <c r="K1528" s="13">
        <v>43994</v>
      </c>
      <c r="L1528">
        <v>5</v>
      </c>
      <c r="M1528" t="s">
        <v>3927</v>
      </c>
    </row>
    <row r="1529" spans="1:13" x14ac:dyDescent="0.35">
      <c r="A1529" t="s">
        <v>3928</v>
      </c>
      <c r="B1529" t="s">
        <v>3900</v>
      </c>
      <c r="C1529">
        <v>4619.8</v>
      </c>
      <c r="D1529">
        <v>4680</v>
      </c>
      <c r="E1529">
        <v>4605</v>
      </c>
      <c r="F1529">
        <v>4614.66</v>
      </c>
      <c r="G1529">
        <v>4615</v>
      </c>
      <c r="H1529">
        <v>4619.75</v>
      </c>
      <c r="I1529">
        <v>137</v>
      </c>
      <c r="J1529">
        <v>633377.80000000005</v>
      </c>
      <c r="K1529" s="13">
        <v>43994</v>
      </c>
      <c r="L1529">
        <v>14</v>
      </c>
      <c r="M1529" t="s">
        <v>3929</v>
      </c>
    </row>
    <row r="1530" spans="1:13" x14ac:dyDescent="0.35">
      <c r="A1530" t="s">
        <v>3930</v>
      </c>
      <c r="B1530" t="s">
        <v>3900</v>
      </c>
      <c r="C1530">
        <v>4663</v>
      </c>
      <c r="D1530">
        <v>4749.99</v>
      </c>
      <c r="E1530">
        <v>4663</v>
      </c>
      <c r="F1530">
        <v>4749.99</v>
      </c>
      <c r="G1530">
        <v>4749.99</v>
      </c>
      <c r="H1530">
        <v>4675</v>
      </c>
      <c r="I1530">
        <v>10</v>
      </c>
      <c r="J1530">
        <v>47064.95</v>
      </c>
      <c r="K1530" s="13">
        <v>43994</v>
      </c>
      <c r="L1530">
        <v>2</v>
      </c>
      <c r="M1530" t="s">
        <v>3931</v>
      </c>
    </row>
    <row r="1531" spans="1:13" x14ac:dyDescent="0.35">
      <c r="A1531" t="s">
        <v>3932</v>
      </c>
      <c r="B1531" t="s">
        <v>3900</v>
      </c>
      <c r="C1531">
        <v>4620</v>
      </c>
      <c r="D1531">
        <v>4650</v>
      </c>
      <c r="E1531">
        <v>4612</v>
      </c>
      <c r="F1531">
        <v>4650</v>
      </c>
      <c r="G1531">
        <v>4650</v>
      </c>
      <c r="H1531">
        <v>4650</v>
      </c>
      <c r="I1531">
        <v>55</v>
      </c>
      <c r="J1531">
        <v>255375</v>
      </c>
      <c r="K1531" s="13">
        <v>43994</v>
      </c>
      <c r="L1531">
        <v>7</v>
      </c>
      <c r="M1531" t="s">
        <v>3933</v>
      </c>
    </row>
    <row r="1532" spans="1:13" x14ac:dyDescent="0.35">
      <c r="A1532" t="s">
        <v>3934</v>
      </c>
      <c r="B1532" t="s">
        <v>3900</v>
      </c>
      <c r="C1532">
        <v>4645</v>
      </c>
      <c r="D1532">
        <v>4645</v>
      </c>
      <c r="E1532">
        <v>4602.01</v>
      </c>
      <c r="F1532">
        <v>4644</v>
      </c>
      <c r="G1532">
        <v>4644</v>
      </c>
      <c r="H1532">
        <v>4645</v>
      </c>
      <c r="I1532">
        <v>24</v>
      </c>
      <c r="J1532">
        <v>111417.01</v>
      </c>
      <c r="K1532" s="13">
        <v>43994</v>
      </c>
      <c r="L1532">
        <v>3</v>
      </c>
      <c r="M1532" t="s">
        <v>3935</v>
      </c>
    </row>
    <row r="1533" spans="1:13" x14ac:dyDescent="0.35">
      <c r="A1533" t="s">
        <v>3936</v>
      </c>
      <c r="B1533" t="s">
        <v>3900</v>
      </c>
      <c r="C1533">
        <v>4699</v>
      </c>
      <c r="D1533">
        <v>4699</v>
      </c>
      <c r="E1533">
        <v>4611</v>
      </c>
      <c r="F1533">
        <v>4641.05</v>
      </c>
      <c r="G1533">
        <v>4641.05</v>
      </c>
      <c r="H1533">
        <v>4645</v>
      </c>
      <c r="I1533">
        <v>33</v>
      </c>
      <c r="J1533">
        <v>152856.54999999999</v>
      </c>
      <c r="K1533" s="13">
        <v>43994</v>
      </c>
      <c r="L1533">
        <v>16</v>
      </c>
      <c r="M1533" t="s">
        <v>3937</v>
      </c>
    </row>
    <row r="1534" spans="1:13" x14ac:dyDescent="0.35">
      <c r="A1534" t="s">
        <v>3938</v>
      </c>
      <c r="B1534" t="s">
        <v>3900</v>
      </c>
      <c r="C1534">
        <v>4592.1000000000004</v>
      </c>
      <c r="D1534">
        <v>4592.1000000000004</v>
      </c>
      <c r="E1534">
        <v>4592.1000000000004</v>
      </c>
      <c r="F1534">
        <v>4592.1000000000004</v>
      </c>
      <c r="G1534">
        <v>4592.1000000000004</v>
      </c>
      <c r="H1534">
        <v>4591.34</v>
      </c>
      <c r="I1534">
        <v>1</v>
      </c>
      <c r="J1534">
        <v>4592.1000000000004</v>
      </c>
      <c r="K1534" s="13">
        <v>43994</v>
      </c>
      <c r="L1534">
        <v>1</v>
      </c>
      <c r="M1534" t="s">
        <v>3939</v>
      </c>
    </row>
    <row r="1535" spans="1:13" x14ac:dyDescent="0.35">
      <c r="A1535" t="s">
        <v>3940</v>
      </c>
      <c r="B1535" t="s">
        <v>3900</v>
      </c>
      <c r="C1535">
        <v>4617.6499999999996</v>
      </c>
      <c r="D1535">
        <v>4640</v>
      </c>
      <c r="E1535">
        <v>4615.05</v>
      </c>
      <c r="F1535">
        <v>4634</v>
      </c>
      <c r="G1535">
        <v>4634</v>
      </c>
      <c r="H1535">
        <v>4617.6499999999996</v>
      </c>
      <c r="I1535">
        <v>222</v>
      </c>
      <c r="J1535">
        <v>1026371.95</v>
      </c>
      <c r="K1535" s="13">
        <v>43994</v>
      </c>
      <c r="L1535">
        <v>43</v>
      </c>
      <c r="M1535" t="s">
        <v>3941</v>
      </c>
    </row>
    <row r="1536" spans="1:13" x14ac:dyDescent="0.35">
      <c r="A1536" t="s">
        <v>3942</v>
      </c>
      <c r="B1536" t="s">
        <v>3900</v>
      </c>
      <c r="C1536">
        <v>4749.99</v>
      </c>
      <c r="D1536">
        <v>4749.99</v>
      </c>
      <c r="E1536">
        <v>4744.99</v>
      </c>
      <c r="F1536">
        <v>4744.99</v>
      </c>
      <c r="G1536">
        <v>4744.99</v>
      </c>
      <c r="H1536">
        <v>4703.33</v>
      </c>
      <c r="I1536">
        <v>5</v>
      </c>
      <c r="J1536">
        <v>23729.95</v>
      </c>
      <c r="K1536" s="13">
        <v>43994</v>
      </c>
      <c r="L1536">
        <v>2</v>
      </c>
      <c r="M1536" t="s">
        <v>3943</v>
      </c>
    </row>
    <row r="1537" spans="1:13" x14ac:dyDescent="0.35">
      <c r="A1537" t="s">
        <v>3944</v>
      </c>
      <c r="B1537" t="s">
        <v>3900</v>
      </c>
      <c r="C1537">
        <v>4690</v>
      </c>
      <c r="D1537">
        <v>4690</v>
      </c>
      <c r="E1537">
        <v>4669</v>
      </c>
      <c r="F1537">
        <v>4676.75</v>
      </c>
      <c r="G1537">
        <v>4680</v>
      </c>
      <c r="H1537">
        <v>4685.66</v>
      </c>
      <c r="I1537">
        <v>285</v>
      </c>
      <c r="J1537">
        <v>1335440.2</v>
      </c>
      <c r="K1537" s="13">
        <v>43994</v>
      </c>
      <c r="L1537">
        <v>27</v>
      </c>
      <c r="M1537" t="s">
        <v>3945</v>
      </c>
    </row>
    <row r="1538" spans="1:13" x14ac:dyDescent="0.35">
      <c r="A1538" t="s">
        <v>3946</v>
      </c>
      <c r="B1538" t="s">
        <v>3900</v>
      </c>
      <c r="C1538">
        <v>4631.01</v>
      </c>
      <c r="D1538">
        <v>4645</v>
      </c>
      <c r="E1538">
        <v>4629</v>
      </c>
      <c r="F1538">
        <v>4645</v>
      </c>
      <c r="G1538">
        <v>4645</v>
      </c>
      <c r="H1538">
        <v>4625</v>
      </c>
      <c r="I1538">
        <v>53</v>
      </c>
      <c r="J1538">
        <v>245707.1</v>
      </c>
      <c r="K1538" s="13">
        <v>43994</v>
      </c>
      <c r="L1538">
        <v>6</v>
      </c>
      <c r="M1538" t="s">
        <v>3947</v>
      </c>
    </row>
    <row r="1539" spans="1:13" x14ac:dyDescent="0.35">
      <c r="A1539" t="s">
        <v>3948</v>
      </c>
      <c r="B1539" t="s">
        <v>3900</v>
      </c>
      <c r="C1539">
        <v>4649.6000000000004</v>
      </c>
      <c r="D1539">
        <v>4649.6000000000004</v>
      </c>
      <c r="E1539">
        <v>4625</v>
      </c>
      <c r="F1539">
        <v>4625</v>
      </c>
      <c r="G1539">
        <v>4625</v>
      </c>
      <c r="H1539">
        <v>4625</v>
      </c>
      <c r="I1539">
        <v>31</v>
      </c>
      <c r="J1539">
        <v>143596.4</v>
      </c>
      <c r="K1539" s="13">
        <v>43994</v>
      </c>
      <c r="L1539">
        <v>2</v>
      </c>
      <c r="M1539" t="s">
        <v>3949</v>
      </c>
    </row>
    <row r="1540" spans="1:13" x14ac:dyDescent="0.35">
      <c r="A1540" t="s">
        <v>3950</v>
      </c>
      <c r="B1540" t="s">
        <v>3900</v>
      </c>
      <c r="C1540">
        <v>4611</v>
      </c>
      <c r="D1540">
        <v>4611</v>
      </c>
      <c r="E1540">
        <v>4611</v>
      </c>
      <c r="F1540">
        <v>4611</v>
      </c>
      <c r="G1540">
        <v>4611</v>
      </c>
      <c r="H1540">
        <v>4624</v>
      </c>
      <c r="I1540">
        <v>8</v>
      </c>
      <c r="J1540">
        <v>36888</v>
      </c>
      <c r="K1540" s="13">
        <v>43994</v>
      </c>
      <c r="L1540">
        <v>1</v>
      </c>
      <c r="M1540" t="s">
        <v>3951</v>
      </c>
    </row>
    <row r="1541" spans="1:13" x14ac:dyDescent="0.35">
      <c r="A1541" t="s">
        <v>3952</v>
      </c>
      <c r="B1541" t="s">
        <v>3900</v>
      </c>
      <c r="C1541">
        <v>4650</v>
      </c>
      <c r="D1541">
        <v>4700</v>
      </c>
      <c r="E1541">
        <v>4650</v>
      </c>
      <c r="F1541">
        <v>4699</v>
      </c>
      <c r="G1541">
        <v>4699</v>
      </c>
      <c r="H1541">
        <v>4650</v>
      </c>
      <c r="I1541">
        <v>5</v>
      </c>
      <c r="J1541">
        <v>23398</v>
      </c>
      <c r="K1541" s="13">
        <v>43994</v>
      </c>
      <c r="L1541">
        <v>4</v>
      </c>
      <c r="M1541" t="s">
        <v>3953</v>
      </c>
    </row>
    <row r="1542" spans="1:13" x14ac:dyDescent="0.35">
      <c r="A1542" t="s">
        <v>3954</v>
      </c>
      <c r="B1542" t="s">
        <v>3900</v>
      </c>
      <c r="C1542">
        <v>4620</v>
      </c>
      <c r="D1542">
        <v>4658</v>
      </c>
      <c r="E1542">
        <v>4620</v>
      </c>
      <c r="F1542">
        <v>4652.28</v>
      </c>
      <c r="G1542">
        <v>4650</v>
      </c>
      <c r="H1542">
        <v>4611</v>
      </c>
      <c r="I1542">
        <v>33</v>
      </c>
      <c r="J1542">
        <v>153558</v>
      </c>
      <c r="K1542" s="13">
        <v>43994</v>
      </c>
      <c r="L1542">
        <v>8</v>
      </c>
      <c r="M1542" t="s">
        <v>3955</v>
      </c>
    </row>
    <row r="1543" spans="1:13" x14ac:dyDescent="0.35">
      <c r="A1543" t="s">
        <v>3956</v>
      </c>
      <c r="B1543" t="s">
        <v>3900</v>
      </c>
      <c r="C1543">
        <v>4640</v>
      </c>
      <c r="D1543">
        <v>4640</v>
      </c>
      <c r="E1543">
        <v>4625</v>
      </c>
      <c r="F1543">
        <v>4625</v>
      </c>
      <c r="G1543">
        <v>4625</v>
      </c>
      <c r="H1543">
        <v>4654.99</v>
      </c>
      <c r="I1543">
        <v>2</v>
      </c>
      <c r="J1543">
        <v>9265</v>
      </c>
      <c r="K1543" s="13">
        <v>43994</v>
      </c>
      <c r="L1543">
        <v>2</v>
      </c>
      <c r="M1543" t="s">
        <v>3957</v>
      </c>
    </row>
    <row r="1544" spans="1:13" x14ac:dyDescent="0.35">
      <c r="A1544" t="s">
        <v>3958</v>
      </c>
      <c r="B1544" t="s">
        <v>3900</v>
      </c>
      <c r="C1544">
        <v>4601.01</v>
      </c>
      <c r="D1544">
        <v>4601.01</v>
      </c>
      <c r="E1544">
        <v>4601.01</v>
      </c>
      <c r="F1544">
        <v>4601.01</v>
      </c>
      <c r="G1544">
        <v>4601.01</v>
      </c>
      <c r="H1544">
        <v>4643.99</v>
      </c>
      <c r="I1544">
        <v>2</v>
      </c>
      <c r="J1544">
        <v>9202.02</v>
      </c>
      <c r="K1544" s="13">
        <v>43994</v>
      </c>
      <c r="L1544">
        <v>1</v>
      </c>
      <c r="M1544" t="s">
        <v>3959</v>
      </c>
    </row>
    <row r="1545" spans="1:13" x14ac:dyDescent="0.35">
      <c r="A1545" t="s">
        <v>3960</v>
      </c>
      <c r="B1545" t="s">
        <v>3900</v>
      </c>
      <c r="C1545">
        <v>4699.8999999999996</v>
      </c>
      <c r="D1545">
        <v>4799</v>
      </c>
      <c r="E1545">
        <v>4603</v>
      </c>
      <c r="F1545">
        <v>4709</v>
      </c>
      <c r="G1545">
        <v>4709</v>
      </c>
      <c r="H1545">
        <v>4590</v>
      </c>
      <c r="I1545">
        <v>68</v>
      </c>
      <c r="J1545">
        <v>320175.34999999998</v>
      </c>
      <c r="K1545" s="13">
        <v>43994</v>
      </c>
      <c r="L1545">
        <v>13</v>
      </c>
      <c r="M1545" t="s">
        <v>3961</v>
      </c>
    </row>
    <row r="1546" spans="1:13" x14ac:dyDescent="0.35">
      <c r="A1546" t="s">
        <v>3962</v>
      </c>
      <c r="B1546" t="s">
        <v>3900</v>
      </c>
      <c r="C1546">
        <v>4621</v>
      </c>
      <c r="D1546">
        <v>4650</v>
      </c>
      <c r="E1546">
        <v>4620</v>
      </c>
      <c r="F1546">
        <v>4621</v>
      </c>
      <c r="G1546">
        <v>4621</v>
      </c>
      <c r="H1546">
        <v>4601</v>
      </c>
      <c r="I1546">
        <v>16</v>
      </c>
      <c r="J1546">
        <v>74224</v>
      </c>
      <c r="K1546" s="13">
        <v>43994</v>
      </c>
      <c r="L1546">
        <v>7</v>
      </c>
      <c r="M1546" t="s">
        <v>3963</v>
      </c>
    </row>
    <row r="1547" spans="1:13" x14ac:dyDescent="0.35">
      <c r="A1547" t="s">
        <v>3964</v>
      </c>
      <c r="B1547" t="s">
        <v>3900</v>
      </c>
      <c r="C1547">
        <v>4661.12</v>
      </c>
      <c r="D1547">
        <v>4663</v>
      </c>
      <c r="E1547">
        <v>4660</v>
      </c>
      <c r="F1547">
        <v>4660</v>
      </c>
      <c r="G1547">
        <v>4660</v>
      </c>
      <c r="H1547">
        <v>4669.66</v>
      </c>
      <c r="I1547">
        <v>162</v>
      </c>
      <c r="J1547">
        <v>755137.91</v>
      </c>
      <c r="K1547" s="13">
        <v>43994</v>
      </c>
      <c r="L1547">
        <v>35</v>
      </c>
      <c r="M1547" t="s">
        <v>3965</v>
      </c>
    </row>
    <row r="1548" spans="1:13" x14ac:dyDescent="0.35">
      <c r="A1548" t="s">
        <v>3966</v>
      </c>
      <c r="B1548" t="s">
        <v>3900</v>
      </c>
      <c r="C1548">
        <v>4600</v>
      </c>
      <c r="D1548">
        <v>4680</v>
      </c>
      <c r="E1548">
        <v>4600</v>
      </c>
      <c r="F1548">
        <v>4678.42</v>
      </c>
      <c r="G1548">
        <v>4680</v>
      </c>
      <c r="H1548">
        <v>4600</v>
      </c>
      <c r="I1548">
        <v>58</v>
      </c>
      <c r="J1548">
        <v>271036.90999999997</v>
      </c>
      <c r="K1548" s="13">
        <v>43994</v>
      </c>
      <c r="L1548">
        <v>8</v>
      </c>
      <c r="M1548" t="s">
        <v>3967</v>
      </c>
    </row>
    <row r="1549" spans="1:13" x14ac:dyDescent="0.35">
      <c r="A1549" t="s">
        <v>2495</v>
      </c>
      <c r="B1549" t="s">
        <v>18</v>
      </c>
      <c r="C1549">
        <v>9.1999999999999993</v>
      </c>
      <c r="D1549">
        <v>9.25</v>
      </c>
      <c r="E1549">
        <v>8.4499999999999993</v>
      </c>
      <c r="F1549">
        <v>9.1</v>
      </c>
      <c r="G1549">
        <v>9.1</v>
      </c>
      <c r="H1549">
        <v>9.35</v>
      </c>
      <c r="I1549">
        <v>136092</v>
      </c>
      <c r="J1549">
        <v>1186213.8500000001</v>
      </c>
      <c r="K1549" s="13">
        <v>43994</v>
      </c>
      <c r="L1549">
        <v>261</v>
      </c>
      <c r="M1549" t="s">
        <v>2496</v>
      </c>
    </row>
    <row r="1550" spans="1:13" x14ac:dyDescent="0.35">
      <c r="A1550" t="s">
        <v>2497</v>
      </c>
      <c r="B1550" t="s">
        <v>18</v>
      </c>
      <c r="C1550">
        <v>7</v>
      </c>
      <c r="D1550">
        <v>7.1</v>
      </c>
      <c r="E1550">
        <v>7</v>
      </c>
      <c r="F1550">
        <v>7.1</v>
      </c>
      <c r="G1550">
        <v>7.1</v>
      </c>
      <c r="H1550">
        <v>6.8</v>
      </c>
      <c r="I1550">
        <v>5792</v>
      </c>
      <c r="J1550">
        <v>41044.300000000003</v>
      </c>
      <c r="K1550" s="13">
        <v>43994</v>
      </c>
      <c r="L1550">
        <v>35</v>
      </c>
      <c r="M1550" t="s">
        <v>2498</v>
      </c>
    </row>
    <row r="1551" spans="1:13" x14ac:dyDescent="0.35">
      <c r="A1551" t="s">
        <v>2499</v>
      </c>
      <c r="B1551" t="s">
        <v>18</v>
      </c>
      <c r="C1551">
        <v>166.5</v>
      </c>
      <c r="D1551">
        <v>191.4</v>
      </c>
      <c r="E1551">
        <v>164.1</v>
      </c>
      <c r="F1551">
        <v>191.15</v>
      </c>
      <c r="G1551">
        <v>191.4</v>
      </c>
      <c r="H1551">
        <v>174</v>
      </c>
      <c r="I1551">
        <v>911246</v>
      </c>
      <c r="J1551">
        <v>168974410.75</v>
      </c>
      <c r="K1551" s="13">
        <v>43994</v>
      </c>
      <c r="L1551">
        <v>14608</v>
      </c>
      <c r="M1551" t="s">
        <v>2500</v>
      </c>
    </row>
    <row r="1552" spans="1:13" x14ac:dyDescent="0.35">
      <c r="A1552" t="s">
        <v>2501</v>
      </c>
      <c r="B1552" t="s">
        <v>18</v>
      </c>
      <c r="C1552">
        <v>67.25</v>
      </c>
      <c r="D1552">
        <v>69.5</v>
      </c>
      <c r="E1552">
        <v>65</v>
      </c>
      <c r="F1552">
        <v>69.150000000000006</v>
      </c>
      <c r="G1552">
        <v>69.349999999999994</v>
      </c>
      <c r="H1552">
        <v>70</v>
      </c>
      <c r="I1552">
        <v>105827</v>
      </c>
      <c r="J1552">
        <v>7232142.25</v>
      </c>
      <c r="K1552" s="13">
        <v>43994</v>
      </c>
      <c r="L1552">
        <v>1738</v>
      </c>
      <c r="M1552" t="s">
        <v>2502</v>
      </c>
    </row>
    <row r="1553" spans="1:13" x14ac:dyDescent="0.35">
      <c r="A1553" t="s">
        <v>2503</v>
      </c>
      <c r="B1553" t="s">
        <v>18</v>
      </c>
      <c r="C1553">
        <v>58</v>
      </c>
      <c r="D1553">
        <v>60</v>
      </c>
      <c r="E1553">
        <v>57.2</v>
      </c>
      <c r="F1553">
        <v>59.35</v>
      </c>
      <c r="G1553">
        <v>59.5</v>
      </c>
      <c r="H1553">
        <v>60.3</v>
      </c>
      <c r="I1553">
        <v>60930</v>
      </c>
      <c r="J1553">
        <v>3572321.05</v>
      </c>
      <c r="K1553" s="13">
        <v>43994</v>
      </c>
      <c r="L1553">
        <v>755</v>
      </c>
      <c r="M1553" t="s">
        <v>2504</v>
      </c>
    </row>
    <row r="1554" spans="1:13" x14ac:dyDescent="0.35">
      <c r="A1554" t="s">
        <v>2505</v>
      </c>
      <c r="B1554" t="s">
        <v>18</v>
      </c>
      <c r="C1554">
        <v>347.5</v>
      </c>
      <c r="D1554">
        <v>352.6</v>
      </c>
      <c r="E1554">
        <v>299.2</v>
      </c>
      <c r="F1554">
        <v>333.4</v>
      </c>
      <c r="G1554">
        <v>330.95</v>
      </c>
      <c r="H1554">
        <v>352</v>
      </c>
      <c r="I1554">
        <v>492327</v>
      </c>
      <c r="J1554">
        <v>163461013.25</v>
      </c>
      <c r="K1554" s="13">
        <v>43994</v>
      </c>
      <c r="L1554">
        <v>17372</v>
      </c>
      <c r="M1554" t="s">
        <v>2506</v>
      </c>
    </row>
    <row r="1555" spans="1:13" x14ac:dyDescent="0.35">
      <c r="A1555" t="s">
        <v>2507</v>
      </c>
      <c r="B1555" t="s">
        <v>18</v>
      </c>
      <c r="C1555">
        <v>84.1</v>
      </c>
      <c r="D1555">
        <v>88.4</v>
      </c>
      <c r="E1555">
        <v>84.1</v>
      </c>
      <c r="F1555">
        <v>87.95</v>
      </c>
      <c r="G1555">
        <v>88.35</v>
      </c>
      <c r="H1555">
        <v>89.2</v>
      </c>
      <c r="I1555">
        <v>27585</v>
      </c>
      <c r="J1555">
        <v>2380208.9500000002</v>
      </c>
      <c r="K1555" s="13">
        <v>43994</v>
      </c>
      <c r="L1555">
        <v>762</v>
      </c>
      <c r="M1555" t="s">
        <v>2508</v>
      </c>
    </row>
    <row r="1556" spans="1:13" x14ac:dyDescent="0.35">
      <c r="A1556" t="s">
        <v>2509</v>
      </c>
      <c r="B1556" t="s">
        <v>18</v>
      </c>
      <c r="C1556">
        <v>165.55</v>
      </c>
      <c r="D1556">
        <v>178.95</v>
      </c>
      <c r="E1556">
        <v>165</v>
      </c>
      <c r="F1556">
        <v>175.45</v>
      </c>
      <c r="G1556">
        <v>176.5</v>
      </c>
      <c r="H1556">
        <v>172.85</v>
      </c>
      <c r="I1556">
        <v>11700</v>
      </c>
      <c r="J1556">
        <v>2009412.9</v>
      </c>
      <c r="K1556" s="13">
        <v>43994</v>
      </c>
      <c r="L1556">
        <v>532</v>
      </c>
      <c r="M1556" t="s">
        <v>2510</v>
      </c>
    </row>
    <row r="1557" spans="1:13" x14ac:dyDescent="0.35">
      <c r="A1557" t="s">
        <v>2511</v>
      </c>
      <c r="B1557" t="s">
        <v>18</v>
      </c>
      <c r="C1557">
        <v>684.9</v>
      </c>
      <c r="D1557">
        <v>709.8</v>
      </c>
      <c r="E1557">
        <v>663</v>
      </c>
      <c r="F1557">
        <v>700.4</v>
      </c>
      <c r="G1557">
        <v>708.9</v>
      </c>
      <c r="H1557">
        <v>697.95</v>
      </c>
      <c r="I1557">
        <v>954</v>
      </c>
      <c r="J1557">
        <v>659633.19999999995</v>
      </c>
      <c r="K1557" s="13">
        <v>43994</v>
      </c>
      <c r="L1557">
        <v>118</v>
      </c>
      <c r="M1557" t="s">
        <v>2512</v>
      </c>
    </row>
    <row r="1558" spans="1:13" x14ac:dyDescent="0.35">
      <c r="A1558" t="s">
        <v>2513</v>
      </c>
      <c r="B1558" t="s">
        <v>18</v>
      </c>
      <c r="C1558">
        <v>233.6</v>
      </c>
      <c r="D1558">
        <v>249.97</v>
      </c>
      <c r="E1558">
        <v>233.6</v>
      </c>
      <c r="F1558">
        <v>249.5</v>
      </c>
      <c r="G1558">
        <v>249.96</v>
      </c>
      <c r="H1558">
        <v>248.78</v>
      </c>
      <c r="I1558">
        <v>115</v>
      </c>
      <c r="J1558">
        <v>28451.61</v>
      </c>
      <c r="K1558" s="13">
        <v>43994</v>
      </c>
      <c r="L1558">
        <v>20</v>
      </c>
      <c r="M1558" t="s">
        <v>2514</v>
      </c>
    </row>
    <row r="1559" spans="1:13" x14ac:dyDescent="0.35">
      <c r="A1559" t="s">
        <v>2515</v>
      </c>
      <c r="B1559" t="s">
        <v>18</v>
      </c>
      <c r="C1559">
        <v>64</v>
      </c>
      <c r="D1559">
        <v>70</v>
      </c>
      <c r="E1559">
        <v>64</v>
      </c>
      <c r="F1559">
        <v>68.05</v>
      </c>
      <c r="G1559">
        <v>68.150000000000006</v>
      </c>
      <c r="H1559">
        <v>67.349999999999994</v>
      </c>
      <c r="I1559">
        <v>52867</v>
      </c>
      <c r="J1559">
        <v>3504435.2000000002</v>
      </c>
      <c r="K1559" s="13">
        <v>43994</v>
      </c>
      <c r="L1559">
        <v>879</v>
      </c>
      <c r="M1559" t="s">
        <v>2516</v>
      </c>
    </row>
    <row r="1560" spans="1:13" x14ac:dyDescent="0.35">
      <c r="A1560" t="s">
        <v>2517</v>
      </c>
      <c r="B1560" t="s">
        <v>18</v>
      </c>
      <c r="C1560">
        <v>81.8</v>
      </c>
      <c r="D1560">
        <v>88.05</v>
      </c>
      <c r="E1560">
        <v>78.45</v>
      </c>
      <c r="F1560">
        <v>86.4</v>
      </c>
      <c r="G1560">
        <v>87.9</v>
      </c>
      <c r="H1560">
        <v>84.7</v>
      </c>
      <c r="I1560">
        <v>46383</v>
      </c>
      <c r="J1560">
        <v>3887203.15</v>
      </c>
      <c r="K1560" s="13">
        <v>43994</v>
      </c>
      <c r="L1560">
        <v>651</v>
      </c>
      <c r="M1560" t="s">
        <v>2518</v>
      </c>
    </row>
    <row r="1561" spans="1:13" x14ac:dyDescent="0.35">
      <c r="A1561" t="s">
        <v>2519</v>
      </c>
      <c r="B1561" t="s">
        <v>18</v>
      </c>
      <c r="C1561">
        <v>500</v>
      </c>
      <c r="D1561">
        <v>545</v>
      </c>
      <c r="E1561">
        <v>497</v>
      </c>
      <c r="F1561">
        <v>537.79999999999995</v>
      </c>
      <c r="G1561">
        <v>535</v>
      </c>
      <c r="H1561">
        <v>539.6</v>
      </c>
      <c r="I1561">
        <v>95501</v>
      </c>
      <c r="J1561">
        <v>50324966.049999997</v>
      </c>
      <c r="K1561" s="13">
        <v>43994</v>
      </c>
      <c r="L1561">
        <v>4311</v>
      </c>
      <c r="M1561" t="s">
        <v>2520</v>
      </c>
    </row>
    <row r="1562" spans="1:13" x14ac:dyDescent="0.35">
      <c r="A1562" t="s">
        <v>2521</v>
      </c>
      <c r="B1562" t="s">
        <v>18</v>
      </c>
      <c r="C1562">
        <v>7.05</v>
      </c>
      <c r="D1562">
        <v>7.5</v>
      </c>
      <c r="E1562">
        <v>6.9</v>
      </c>
      <c r="F1562">
        <v>7.15</v>
      </c>
      <c r="G1562">
        <v>7</v>
      </c>
      <c r="H1562">
        <v>7.15</v>
      </c>
      <c r="I1562">
        <v>38167</v>
      </c>
      <c r="J1562">
        <v>270606.15000000002</v>
      </c>
      <c r="K1562" s="13">
        <v>43994</v>
      </c>
      <c r="L1562">
        <v>97</v>
      </c>
      <c r="M1562" t="s">
        <v>2522</v>
      </c>
    </row>
    <row r="1563" spans="1:13" x14ac:dyDescent="0.35">
      <c r="A1563" t="s">
        <v>2523</v>
      </c>
      <c r="B1563" t="s">
        <v>18</v>
      </c>
      <c r="C1563">
        <v>15.6</v>
      </c>
      <c r="D1563">
        <v>15.6</v>
      </c>
      <c r="E1563">
        <v>15.6</v>
      </c>
      <c r="F1563">
        <v>15.6</v>
      </c>
      <c r="G1563">
        <v>15.6</v>
      </c>
      <c r="H1563">
        <v>16.399999999999999</v>
      </c>
      <c r="I1563">
        <v>43472</v>
      </c>
      <c r="J1563">
        <v>678163.2</v>
      </c>
      <c r="K1563" s="13">
        <v>43994</v>
      </c>
      <c r="L1563">
        <v>301</v>
      </c>
      <c r="M1563" t="s">
        <v>2524</v>
      </c>
    </row>
    <row r="1564" spans="1:13" x14ac:dyDescent="0.35">
      <c r="A1564" t="s">
        <v>2525</v>
      </c>
      <c r="B1564" t="s">
        <v>18</v>
      </c>
      <c r="C1564">
        <v>23</v>
      </c>
      <c r="D1564">
        <v>24.45</v>
      </c>
      <c r="E1564">
        <v>22.7</v>
      </c>
      <c r="F1564">
        <v>24.05</v>
      </c>
      <c r="G1564">
        <v>24</v>
      </c>
      <c r="H1564">
        <v>23.65</v>
      </c>
      <c r="I1564">
        <v>7410</v>
      </c>
      <c r="J1564">
        <v>174461.35</v>
      </c>
      <c r="K1564" s="13">
        <v>43994</v>
      </c>
      <c r="L1564">
        <v>40</v>
      </c>
      <c r="M1564" t="s">
        <v>2526</v>
      </c>
    </row>
    <row r="1565" spans="1:13" x14ac:dyDescent="0.35">
      <c r="A1565" t="s">
        <v>2527</v>
      </c>
      <c r="B1565" t="s">
        <v>18</v>
      </c>
      <c r="C1565">
        <v>85.25</v>
      </c>
      <c r="D1565">
        <v>93.75</v>
      </c>
      <c r="E1565">
        <v>85</v>
      </c>
      <c r="F1565">
        <v>93.6</v>
      </c>
      <c r="G1565">
        <v>93.75</v>
      </c>
      <c r="H1565">
        <v>85.25</v>
      </c>
      <c r="I1565">
        <v>36144</v>
      </c>
      <c r="J1565">
        <v>3285812.05</v>
      </c>
      <c r="K1565" s="13">
        <v>43994</v>
      </c>
      <c r="L1565">
        <v>579</v>
      </c>
      <c r="M1565" t="s">
        <v>2528</v>
      </c>
    </row>
    <row r="1566" spans="1:13" x14ac:dyDescent="0.35">
      <c r="A1566" t="s">
        <v>2529</v>
      </c>
      <c r="B1566" t="s">
        <v>18</v>
      </c>
      <c r="C1566">
        <v>67.55</v>
      </c>
      <c r="D1566">
        <v>72</v>
      </c>
      <c r="E1566">
        <v>66.099999999999994</v>
      </c>
      <c r="F1566">
        <v>71.55</v>
      </c>
      <c r="G1566">
        <v>71.5</v>
      </c>
      <c r="H1566">
        <v>70.45</v>
      </c>
      <c r="I1566">
        <v>2376384</v>
      </c>
      <c r="J1566">
        <v>164752357.84999999</v>
      </c>
      <c r="K1566" s="13">
        <v>43994</v>
      </c>
      <c r="L1566">
        <v>9493</v>
      </c>
      <c r="M1566" t="s">
        <v>2530</v>
      </c>
    </row>
    <row r="1567" spans="1:13" x14ac:dyDescent="0.35">
      <c r="A1567" t="s">
        <v>2531</v>
      </c>
      <c r="B1567" t="s">
        <v>18</v>
      </c>
      <c r="C1567">
        <v>176.05</v>
      </c>
      <c r="D1567">
        <v>184.05</v>
      </c>
      <c r="E1567">
        <v>176.05</v>
      </c>
      <c r="F1567">
        <v>182.6</v>
      </c>
      <c r="G1567">
        <v>181.3</v>
      </c>
      <c r="H1567">
        <v>185.3</v>
      </c>
      <c r="I1567">
        <v>352436</v>
      </c>
      <c r="J1567">
        <v>62871843.600000001</v>
      </c>
      <c r="K1567" s="13">
        <v>43994</v>
      </c>
      <c r="L1567">
        <v>5562</v>
      </c>
      <c r="M1567" t="s">
        <v>2532</v>
      </c>
    </row>
    <row r="1568" spans="1:13" x14ac:dyDescent="0.35">
      <c r="A1568" t="s">
        <v>2533</v>
      </c>
      <c r="B1568" t="s">
        <v>18</v>
      </c>
      <c r="C1568">
        <v>40.4</v>
      </c>
      <c r="D1568">
        <v>46.75</v>
      </c>
      <c r="E1568">
        <v>39.25</v>
      </c>
      <c r="F1568">
        <v>43.65</v>
      </c>
      <c r="G1568">
        <v>43.65</v>
      </c>
      <c r="H1568">
        <v>41.2</v>
      </c>
      <c r="I1568">
        <v>6894359</v>
      </c>
      <c r="J1568">
        <v>302141219.30000001</v>
      </c>
      <c r="K1568" s="13">
        <v>43994</v>
      </c>
      <c r="L1568">
        <v>20837</v>
      </c>
      <c r="M1568" t="s">
        <v>2534</v>
      </c>
    </row>
    <row r="1569" spans="1:13" x14ac:dyDescent="0.35">
      <c r="A1569" t="s">
        <v>2535</v>
      </c>
      <c r="B1569" t="s">
        <v>18</v>
      </c>
      <c r="C1569">
        <v>20700</v>
      </c>
      <c r="D1569">
        <v>23137.25</v>
      </c>
      <c r="E1569">
        <v>20700</v>
      </c>
      <c r="F1569">
        <v>22392.65</v>
      </c>
      <c r="G1569">
        <v>22489</v>
      </c>
      <c r="H1569">
        <v>21251.200000000001</v>
      </c>
      <c r="I1569">
        <v>147218</v>
      </c>
      <c r="J1569">
        <v>3217776560.25</v>
      </c>
      <c r="K1569" s="13">
        <v>43994</v>
      </c>
      <c r="L1569">
        <v>28551</v>
      </c>
      <c r="M1569" t="s">
        <v>2536</v>
      </c>
    </row>
    <row r="1570" spans="1:13" x14ac:dyDescent="0.35">
      <c r="A1570" t="s">
        <v>2537</v>
      </c>
      <c r="B1570" t="s">
        <v>18</v>
      </c>
      <c r="C1570">
        <v>84.05</v>
      </c>
      <c r="D1570">
        <v>101.4</v>
      </c>
      <c r="E1570">
        <v>84</v>
      </c>
      <c r="F1570">
        <v>98.9</v>
      </c>
      <c r="G1570">
        <v>98.2</v>
      </c>
      <c r="H1570">
        <v>92.2</v>
      </c>
      <c r="I1570">
        <v>70661</v>
      </c>
      <c r="J1570">
        <v>6777129.25</v>
      </c>
      <c r="K1570" s="13">
        <v>43994</v>
      </c>
      <c r="L1570">
        <v>1990</v>
      </c>
      <c r="M1570" t="s">
        <v>2538</v>
      </c>
    </row>
    <row r="1571" spans="1:13" x14ac:dyDescent="0.35">
      <c r="A1571" t="s">
        <v>2539</v>
      </c>
      <c r="B1571" t="s">
        <v>18</v>
      </c>
      <c r="C1571">
        <v>5.25</v>
      </c>
      <c r="D1571">
        <v>5.75</v>
      </c>
      <c r="E1571">
        <v>5.25</v>
      </c>
      <c r="F1571">
        <v>5.5</v>
      </c>
      <c r="G1571">
        <v>5.6</v>
      </c>
      <c r="H1571">
        <v>5.5</v>
      </c>
      <c r="I1571">
        <v>29619</v>
      </c>
      <c r="J1571">
        <v>160337.54999999999</v>
      </c>
      <c r="K1571" s="13">
        <v>43994</v>
      </c>
      <c r="L1571">
        <v>81</v>
      </c>
      <c r="M1571" t="s">
        <v>2540</v>
      </c>
    </row>
    <row r="1572" spans="1:13" x14ac:dyDescent="0.35">
      <c r="A1572" t="s">
        <v>2541</v>
      </c>
      <c r="B1572" t="s">
        <v>18</v>
      </c>
      <c r="C1572">
        <v>22.6</v>
      </c>
      <c r="D1572">
        <v>22.65</v>
      </c>
      <c r="E1572">
        <v>21</v>
      </c>
      <c r="F1572">
        <v>22.65</v>
      </c>
      <c r="G1572">
        <v>22.65</v>
      </c>
      <c r="H1572">
        <v>21.6</v>
      </c>
      <c r="I1572">
        <v>47512</v>
      </c>
      <c r="J1572">
        <v>1035998.8</v>
      </c>
      <c r="K1572" s="13">
        <v>43994</v>
      </c>
      <c r="L1572">
        <v>99</v>
      </c>
      <c r="M1572" t="s">
        <v>2542</v>
      </c>
    </row>
    <row r="1573" spans="1:13" x14ac:dyDescent="0.35">
      <c r="A1573" t="s">
        <v>2543</v>
      </c>
      <c r="B1573" t="s">
        <v>18</v>
      </c>
      <c r="C1573">
        <v>82</v>
      </c>
      <c r="D1573">
        <v>86</v>
      </c>
      <c r="E1573">
        <v>79.5</v>
      </c>
      <c r="F1573">
        <v>84.9</v>
      </c>
      <c r="G1573">
        <v>85.95</v>
      </c>
      <c r="H1573">
        <v>83.6</v>
      </c>
      <c r="I1573">
        <v>39260</v>
      </c>
      <c r="J1573">
        <v>3253207.5</v>
      </c>
      <c r="K1573" s="13">
        <v>43994</v>
      </c>
      <c r="L1573">
        <v>915</v>
      </c>
      <c r="M1573" t="s">
        <v>2544</v>
      </c>
    </row>
    <row r="1574" spans="1:13" x14ac:dyDescent="0.35">
      <c r="A1574" t="s">
        <v>2545</v>
      </c>
      <c r="B1574" t="s">
        <v>18</v>
      </c>
      <c r="C1574">
        <v>47.5</v>
      </c>
      <c r="D1574">
        <v>54.8</v>
      </c>
      <c r="E1574">
        <v>47.5</v>
      </c>
      <c r="F1574">
        <v>54.3</v>
      </c>
      <c r="G1574">
        <v>54.8</v>
      </c>
      <c r="H1574">
        <v>51.75</v>
      </c>
      <c r="I1574">
        <v>32991</v>
      </c>
      <c r="J1574">
        <v>1729457.85</v>
      </c>
      <c r="K1574" s="13">
        <v>43994</v>
      </c>
      <c r="L1574">
        <v>747</v>
      </c>
      <c r="M1574" t="s">
        <v>2546</v>
      </c>
    </row>
    <row r="1575" spans="1:13" x14ac:dyDescent="0.35">
      <c r="A1575" t="s">
        <v>3968</v>
      </c>
      <c r="B1575" t="s">
        <v>3391</v>
      </c>
      <c r="C1575">
        <v>590</v>
      </c>
      <c r="D1575">
        <v>590</v>
      </c>
      <c r="E1575">
        <v>590</v>
      </c>
      <c r="F1575">
        <v>590</v>
      </c>
      <c r="G1575">
        <v>590</v>
      </c>
      <c r="H1575">
        <v>611.1</v>
      </c>
      <c r="I1575">
        <v>5</v>
      </c>
      <c r="J1575">
        <v>2950</v>
      </c>
      <c r="K1575" s="13">
        <v>43994</v>
      </c>
      <c r="L1575">
        <v>1</v>
      </c>
      <c r="M1575" t="s">
        <v>3969</v>
      </c>
    </row>
    <row r="1576" spans="1:13" x14ac:dyDescent="0.35">
      <c r="A1576" t="s">
        <v>2547</v>
      </c>
      <c r="B1576" t="s">
        <v>18</v>
      </c>
      <c r="C1576">
        <v>650.1</v>
      </c>
      <c r="D1576">
        <v>673</v>
      </c>
      <c r="E1576">
        <v>640</v>
      </c>
      <c r="F1576">
        <v>668</v>
      </c>
      <c r="G1576">
        <v>666</v>
      </c>
      <c r="H1576">
        <v>682.8</v>
      </c>
      <c r="I1576">
        <v>103711</v>
      </c>
      <c r="J1576">
        <v>68361710.099999994</v>
      </c>
      <c r="K1576" s="13">
        <v>43994</v>
      </c>
      <c r="L1576">
        <v>10481</v>
      </c>
      <c r="M1576" t="s">
        <v>2548</v>
      </c>
    </row>
    <row r="1577" spans="1:13" x14ac:dyDescent="0.35">
      <c r="A1577" t="s">
        <v>2549</v>
      </c>
      <c r="B1577" t="s">
        <v>18</v>
      </c>
      <c r="C1577">
        <v>4.2</v>
      </c>
      <c r="D1577">
        <v>4.25</v>
      </c>
      <c r="E1577">
        <v>3.85</v>
      </c>
      <c r="F1577">
        <v>4.25</v>
      </c>
      <c r="G1577">
        <v>4.25</v>
      </c>
      <c r="H1577">
        <v>4.05</v>
      </c>
      <c r="I1577">
        <v>1082654</v>
      </c>
      <c r="J1577">
        <v>4358136.5</v>
      </c>
      <c r="K1577" s="13">
        <v>43994</v>
      </c>
      <c r="L1577">
        <v>717</v>
      </c>
      <c r="M1577" t="s">
        <v>2550</v>
      </c>
    </row>
    <row r="1578" spans="1:13" x14ac:dyDescent="0.35">
      <c r="A1578" t="s">
        <v>3970</v>
      </c>
      <c r="B1578" t="s">
        <v>3381</v>
      </c>
      <c r="C1578">
        <v>24.2</v>
      </c>
      <c r="D1578">
        <v>24.2</v>
      </c>
      <c r="E1578">
        <v>24.2</v>
      </c>
      <c r="F1578">
        <v>24.2</v>
      </c>
      <c r="G1578">
        <v>24.2</v>
      </c>
      <c r="H1578">
        <v>25.45</v>
      </c>
      <c r="I1578">
        <v>1000</v>
      </c>
      <c r="J1578">
        <v>24200</v>
      </c>
      <c r="K1578" s="13">
        <v>43994</v>
      </c>
      <c r="L1578">
        <v>1</v>
      </c>
      <c r="M1578" t="s">
        <v>3971</v>
      </c>
    </row>
    <row r="1579" spans="1:13" x14ac:dyDescent="0.35">
      <c r="A1579" t="s">
        <v>3972</v>
      </c>
      <c r="B1579" t="s">
        <v>3391</v>
      </c>
      <c r="C1579">
        <v>3.75</v>
      </c>
      <c r="D1579">
        <v>3.75</v>
      </c>
      <c r="E1579">
        <v>3.6</v>
      </c>
      <c r="F1579">
        <v>3.7</v>
      </c>
      <c r="G1579">
        <v>3.65</v>
      </c>
      <c r="H1579">
        <v>3.75</v>
      </c>
      <c r="I1579">
        <v>15641</v>
      </c>
      <c r="J1579">
        <v>57670.95</v>
      </c>
      <c r="K1579" s="13">
        <v>43994</v>
      </c>
      <c r="L1579">
        <v>21</v>
      </c>
      <c r="M1579" t="s">
        <v>3973</v>
      </c>
    </row>
    <row r="1580" spans="1:13" x14ac:dyDescent="0.35">
      <c r="A1580" t="s">
        <v>2551</v>
      </c>
      <c r="B1580" t="s">
        <v>18</v>
      </c>
      <c r="C1580">
        <v>12.95</v>
      </c>
      <c r="D1580">
        <v>13.9</v>
      </c>
      <c r="E1580">
        <v>12.95</v>
      </c>
      <c r="F1580">
        <v>13.25</v>
      </c>
      <c r="G1580">
        <v>13.9</v>
      </c>
      <c r="H1580">
        <v>13.6</v>
      </c>
      <c r="I1580">
        <v>31727</v>
      </c>
      <c r="J1580">
        <v>414785.85</v>
      </c>
      <c r="K1580" s="13">
        <v>43994</v>
      </c>
      <c r="L1580">
        <v>228</v>
      </c>
      <c r="M1580" t="s">
        <v>2552</v>
      </c>
    </row>
    <row r="1581" spans="1:13" x14ac:dyDescent="0.35">
      <c r="A1581" t="s">
        <v>2553</v>
      </c>
      <c r="B1581" t="s">
        <v>18</v>
      </c>
      <c r="C1581">
        <v>9.9</v>
      </c>
      <c r="D1581">
        <v>10.15</v>
      </c>
      <c r="E1581">
        <v>9.6999999999999993</v>
      </c>
      <c r="F1581">
        <v>10</v>
      </c>
      <c r="G1581">
        <v>10</v>
      </c>
      <c r="H1581">
        <v>10</v>
      </c>
      <c r="I1581">
        <v>289422</v>
      </c>
      <c r="J1581">
        <v>2903494.8</v>
      </c>
      <c r="K1581" s="13">
        <v>43994</v>
      </c>
      <c r="L1581">
        <v>525</v>
      </c>
      <c r="M1581" t="s">
        <v>2554</v>
      </c>
    </row>
    <row r="1582" spans="1:13" x14ac:dyDescent="0.35">
      <c r="A1582" t="s">
        <v>2555</v>
      </c>
      <c r="B1582" t="s">
        <v>18</v>
      </c>
      <c r="C1582">
        <v>1025.55</v>
      </c>
      <c r="D1582">
        <v>1078.8</v>
      </c>
      <c r="E1582">
        <v>1025.3499999999999</v>
      </c>
      <c r="F1582">
        <v>1068.6500000000001</v>
      </c>
      <c r="G1582">
        <v>1065</v>
      </c>
      <c r="H1582">
        <v>1069</v>
      </c>
      <c r="I1582">
        <v>363223</v>
      </c>
      <c r="J1582">
        <v>384027550.05000001</v>
      </c>
      <c r="K1582" s="13">
        <v>43994</v>
      </c>
      <c r="L1582">
        <v>25914</v>
      </c>
      <c r="M1582" t="s">
        <v>2556</v>
      </c>
    </row>
    <row r="1583" spans="1:13" x14ac:dyDescent="0.35">
      <c r="A1583" t="s">
        <v>2557</v>
      </c>
      <c r="B1583" t="s">
        <v>18</v>
      </c>
      <c r="C1583">
        <v>22.5</v>
      </c>
      <c r="D1583">
        <v>23.5</v>
      </c>
      <c r="E1583">
        <v>21</v>
      </c>
      <c r="F1583">
        <v>22.5</v>
      </c>
      <c r="G1583">
        <v>22.4</v>
      </c>
      <c r="H1583">
        <v>23.3</v>
      </c>
      <c r="I1583">
        <v>19323</v>
      </c>
      <c r="J1583">
        <v>429245.2</v>
      </c>
      <c r="K1583" s="13">
        <v>43994</v>
      </c>
      <c r="L1583">
        <v>305</v>
      </c>
      <c r="M1583" t="s">
        <v>2558</v>
      </c>
    </row>
    <row r="1584" spans="1:13" x14ac:dyDescent="0.35">
      <c r="A1584" t="s">
        <v>3974</v>
      </c>
      <c r="B1584" t="s">
        <v>3391</v>
      </c>
      <c r="C1584">
        <v>10.75</v>
      </c>
      <c r="D1584">
        <v>10.75</v>
      </c>
      <c r="E1584">
        <v>10.3</v>
      </c>
      <c r="F1584">
        <v>10.35</v>
      </c>
      <c r="G1584">
        <v>10.55</v>
      </c>
      <c r="H1584">
        <v>10.25</v>
      </c>
      <c r="I1584">
        <v>16991</v>
      </c>
      <c r="J1584">
        <v>177907.3</v>
      </c>
      <c r="K1584" s="13">
        <v>43994</v>
      </c>
      <c r="L1584">
        <v>21</v>
      </c>
      <c r="M1584" t="s">
        <v>3975</v>
      </c>
    </row>
    <row r="1585" spans="1:13" x14ac:dyDescent="0.35">
      <c r="A1585" t="s">
        <v>2559</v>
      </c>
      <c r="B1585" t="s">
        <v>18</v>
      </c>
      <c r="C1585">
        <v>110.15</v>
      </c>
      <c r="D1585">
        <v>114.05</v>
      </c>
      <c r="E1585">
        <v>110.1</v>
      </c>
      <c r="F1585">
        <v>113.95</v>
      </c>
      <c r="G1585">
        <v>114</v>
      </c>
      <c r="H1585">
        <v>114.2</v>
      </c>
      <c r="I1585">
        <v>746</v>
      </c>
      <c r="J1585">
        <v>84185.8</v>
      </c>
      <c r="K1585" s="13">
        <v>43994</v>
      </c>
      <c r="L1585">
        <v>32</v>
      </c>
      <c r="M1585" t="s">
        <v>2560</v>
      </c>
    </row>
    <row r="1586" spans="1:13" x14ac:dyDescent="0.35">
      <c r="A1586" t="s">
        <v>2561</v>
      </c>
      <c r="B1586" t="s">
        <v>18</v>
      </c>
      <c r="C1586">
        <v>7.55</v>
      </c>
      <c r="D1586">
        <v>7.95</v>
      </c>
      <c r="E1586">
        <v>7.25</v>
      </c>
      <c r="F1586">
        <v>7.95</v>
      </c>
      <c r="G1586">
        <v>7.95</v>
      </c>
      <c r="H1586">
        <v>7.6</v>
      </c>
      <c r="I1586">
        <v>88154</v>
      </c>
      <c r="J1586">
        <v>675706.2</v>
      </c>
      <c r="K1586" s="13">
        <v>43994</v>
      </c>
      <c r="L1586">
        <v>271</v>
      </c>
      <c r="M1586" t="s">
        <v>2562</v>
      </c>
    </row>
    <row r="1587" spans="1:13" x14ac:dyDescent="0.35">
      <c r="A1587" t="s">
        <v>2563</v>
      </c>
      <c r="B1587" t="s">
        <v>18</v>
      </c>
      <c r="C1587">
        <v>27.55</v>
      </c>
      <c r="D1587">
        <v>28.7</v>
      </c>
      <c r="E1587">
        <v>27.55</v>
      </c>
      <c r="F1587">
        <v>28.2</v>
      </c>
      <c r="G1587">
        <v>28.15</v>
      </c>
      <c r="H1587">
        <v>29</v>
      </c>
      <c r="I1587">
        <v>293464</v>
      </c>
      <c r="J1587">
        <v>8207927.9500000002</v>
      </c>
      <c r="K1587" s="13">
        <v>43994</v>
      </c>
      <c r="L1587">
        <v>1738</v>
      </c>
      <c r="M1587" t="s">
        <v>2564</v>
      </c>
    </row>
    <row r="1588" spans="1:13" x14ac:dyDescent="0.35">
      <c r="A1588" t="s">
        <v>3976</v>
      </c>
      <c r="B1588" t="s">
        <v>3391</v>
      </c>
      <c r="C1588">
        <v>1.75</v>
      </c>
      <c r="D1588">
        <v>1.75</v>
      </c>
      <c r="E1588">
        <v>1.65</v>
      </c>
      <c r="F1588">
        <v>1.75</v>
      </c>
      <c r="G1588">
        <v>1.75</v>
      </c>
      <c r="H1588">
        <v>1.7</v>
      </c>
      <c r="I1588">
        <v>6438585</v>
      </c>
      <c r="J1588">
        <v>10915936.25</v>
      </c>
      <c r="K1588" s="13">
        <v>43994</v>
      </c>
      <c r="L1588">
        <v>2878</v>
      </c>
      <c r="M1588" t="s">
        <v>3977</v>
      </c>
    </row>
    <row r="1589" spans="1:13" x14ac:dyDescent="0.35">
      <c r="A1589" t="s">
        <v>2565</v>
      </c>
      <c r="B1589" t="s">
        <v>18</v>
      </c>
      <c r="C1589">
        <v>216</v>
      </c>
      <c r="D1589">
        <v>238</v>
      </c>
      <c r="E1589">
        <v>216</v>
      </c>
      <c r="F1589">
        <v>235.95</v>
      </c>
      <c r="G1589">
        <v>234.1</v>
      </c>
      <c r="H1589">
        <v>234.9</v>
      </c>
      <c r="I1589">
        <v>20692</v>
      </c>
      <c r="J1589">
        <v>4746772.75</v>
      </c>
      <c r="K1589" s="13">
        <v>43994</v>
      </c>
      <c r="L1589">
        <v>872</v>
      </c>
      <c r="M1589" t="s">
        <v>2566</v>
      </c>
    </row>
    <row r="1590" spans="1:13" x14ac:dyDescent="0.35">
      <c r="A1590" t="s">
        <v>2567</v>
      </c>
      <c r="B1590" t="s">
        <v>18</v>
      </c>
      <c r="C1590">
        <v>360</v>
      </c>
      <c r="D1590">
        <v>375</v>
      </c>
      <c r="E1590">
        <v>357.35</v>
      </c>
      <c r="F1590">
        <v>368.55</v>
      </c>
      <c r="G1590">
        <v>368.85</v>
      </c>
      <c r="H1590">
        <v>367.9</v>
      </c>
      <c r="I1590">
        <v>31264</v>
      </c>
      <c r="J1590">
        <v>11438065</v>
      </c>
      <c r="K1590" s="13">
        <v>43994</v>
      </c>
      <c r="L1590">
        <v>1588</v>
      </c>
      <c r="M1590" t="s">
        <v>2568</v>
      </c>
    </row>
    <row r="1591" spans="1:13" x14ac:dyDescent="0.35">
      <c r="A1591" t="s">
        <v>3978</v>
      </c>
      <c r="B1591" t="s">
        <v>3391</v>
      </c>
      <c r="C1591">
        <v>1.7</v>
      </c>
      <c r="D1591">
        <v>1.75</v>
      </c>
      <c r="E1591">
        <v>1.7</v>
      </c>
      <c r="F1591">
        <v>1.7</v>
      </c>
      <c r="G1591">
        <v>1.7</v>
      </c>
      <c r="H1591">
        <v>1.75</v>
      </c>
      <c r="I1591">
        <v>636060</v>
      </c>
      <c r="J1591">
        <v>1089058</v>
      </c>
      <c r="K1591" s="13">
        <v>43994</v>
      </c>
      <c r="L1591">
        <v>328</v>
      </c>
      <c r="M1591" t="s">
        <v>3979</v>
      </c>
    </row>
    <row r="1592" spans="1:13" x14ac:dyDescent="0.35">
      <c r="A1592" t="s">
        <v>2569</v>
      </c>
      <c r="B1592" t="s">
        <v>18</v>
      </c>
      <c r="C1592">
        <v>120.6</v>
      </c>
      <c r="D1592">
        <v>129</v>
      </c>
      <c r="E1592">
        <v>120.6</v>
      </c>
      <c r="F1592">
        <v>128.65</v>
      </c>
      <c r="G1592">
        <v>129</v>
      </c>
      <c r="H1592">
        <v>129.4</v>
      </c>
      <c r="I1592">
        <v>57679</v>
      </c>
      <c r="J1592">
        <v>7242546.1500000004</v>
      </c>
      <c r="K1592" s="13">
        <v>43994</v>
      </c>
      <c r="L1592">
        <v>1741</v>
      </c>
      <c r="M1592" t="s">
        <v>2570</v>
      </c>
    </row>
    <row r="1593" spans="1:13" x14ac:dyDescent="0.35">
      <c r="A1593" t="s">
        <v>2571</v>
      </c>
      <c r="B1593" t="s">
        <v>18</v>
      </c>
      <c r="C1593">
        <v>21</v>
      </c>
      <c r="D1593">
        <v>21.25</v>
      </c>
      <c r="E1593">
        <v>20.9</v>
      </c>
      <c r="F1593">
        <v>21.1</v>
      </c>
      <c r="G1593">
        <v>21.1</v>
      </c>
      <c r="H1593">
        <v>21.35</v>
      </c>
      <c r="I1593">
        <v>5204252</v>
      </c>
      <c r="J1593">
        <v>109487011.59999999</v>
      </c>
      <c r="K1593" s="13">
        <v>43994</v>
      </c>
      <c r="L1593">
        <v>3571</v>
      </c>
      <c r="M1593" t="s">
        <v>2572</v>
      </c>
    </row>
    <row r="1594" spans="1:13" x14ac:dyDescent="0.35">
      <c r="A1594" t="s">
        <v>2573</v>
      </c>
      <c r="B1594" t="s">
        <v>18</v>
      </c>
      <c r="C1594">
        <v>1456</v>
      </c>
      <c r="D1594">
        <v>1470.05</v>
      </c>
      <c r="E1594">
        <v>1440</v>
      </c>
      <c r="F1594">
        <v>1448.15</v>
      </c>
      <c r="G1594">
        <v>1446.9</v>
      </c>
      <c r="H1594">
        <v>1493.15</v>
      </c>
      <c r="I1594">
        <v>75243</v>
      </c>
      <c r="J1594">
        <v>108916629.45</v>
      </c>
      <c r="K1594" s="13">
        <v>43994</v>
      </c>
      <c r="L1594">
        <v>6262</v>
      </c>
      <c r="M1594" t="s">
        <v>2574</v>
      </c>
    </row>
    <row r="1595" spans="1:13" x14ac:dyDescent="0.35">
      <c r="A1595" t="s">
        <v>3980</v>
      </c>
      <c r="B1595" t="s">
        <v>3391</v>
      </c>
      <c r="C1595">
        <v>3.5</v>
      </c>
      <c r="D1595">
        <v>3.7</v>
      </c>
      <c r="E1595">
        <v>3.45</v>
      </c>
      <c r="F1595">
        <v>3.5</v>
      </c>
      <c r="G1595">
        <v>3.5</v>
      </c>
      <c r="H1595">
        <v>3.6</v>
      </c>
      <c r="I1595">
        <v>56965</v>
      </c>
      <c r="J1595">
        <v>199173.75</v>
      </c>
      <c r="K1595" s="13">
        <v>43994</v>
      </c>
      <c r="L1595">
        <v>46</v>
      </c>
      <c r="M1595" t="s">
        <v>3981</v>
      </c>
    </row>
    <row r="1596" spans="1:13" x14ac:dyDescent="0.35">
      <c r="A1596" t="s">
        <v>2575</v>
      </c>
      <c r="B1596" t="s">
        <v>18</v>
      </c>
      <c r="C1596">
        <v>31.1</v>
      </c>
      <c r="D1596">
        <v>33.450000000000003</v>
      </c>
      <c r="E1596">
        <v>30.05</v>
      </c>
      <c r="F1596">
        <v>33.049999999999997</v>
      </c>
      <c r="G1596">
        <v>33</v>
      </c>
      <c r="H1596">
        <v>33.35</v>
      </c>
      <c r="I1596">
        <v>40170</v>
      </c>
      <c r="J1596">
        <v>1290311.25</v>
      </c>
      <c r="K1596" s="13">
        <v>43994</v>
      </c>
      <c r="L1596">
        <v>331</v>
      </c>
      <c r="M1596" t="s">
        <v>2576</v>
      </c>
    </row>
    <row r="1597" spans="1:13" x14ac:dyDescent="0.35">
      <c r="A1597" t="s">
        <v>2577</v>
      </c>
      <c r="B1597" t="s">
        <v>18</v>
      </c>
      <c r="C1597">
        <v>34.4</v>
      </c>
      <c r="D1597">
        <v>34.75</v>
      </c>
      <c r="E1597">
        <v>33.15</v>
      </c>
      <c r="F1597">
        <v>34.15</v>
      </c>
      <c r="G1597">
        <v>34</v>
      </c>
      <c r="H1597">
        <v>34.75</v>
      </c>
      <c r="I1597">
        <v>7654</v>
      </c>
      <c r="J1597">
        <v>259892.7</v>
      </c>
      <c r="K1597" s="13">
        <v>43994</v>
      </c>
      <c r="L1597">
        <v>162</v>
      </c>
      <c r="M1597" t="s">
        <v>2578</v>
      </c>
    </row>
    <row r="1598" spans="1:13" x14ac:dyDescent="0.35">
      <c r="A1598" t="s">
        <v>2579</v>
      </c>
      <c r="B1598" t="s">
        <v>18</v>
      </c>
      <c r="C1598">
        <v>67.900000000000006</v>
      </c>
      <c r="D1598">
        <v>74.900000000000006</v>
      </c>
      <c r="E1598">
        <v>66.900000000000006</v>
      </c>
      <c r="F1598">
        <v>69.2</v>
      </c>
      <c r="G1598">
        <v>70.599999999999994</v>
      </c>
      <c r="H1598">
        <v>68.8</v>
      </c>
      <c r="I1598">
        <v>3046</v>
      </c>
      <c r="J1598">
        <v>214630.85</v>
      </c>
      <c r="K1598" s="13">
        <v>43994</v>
      </c>
      <c r="L1598">
        <v>116</v>
      </c>
      <c r="M1598" t="s">
        <v>2580</v>
      </c>
    </row>
    <row r="1599" spans="1:13" x14ac:dyDescent="0.35">
      <c r="A1599" t="s">
        <v>2581</v>
      </c>
      <c r="B1599" t="s">
        <v>18</v>
      </c>
      <c r="C1599">
        <v>387.7</v>
      </c>
      <c r="D1599">
        <v>391</v>
      </c>
      <c r="E1599">
        <v>380.75</v>
      </c>
      <c r="F1599">
        <v>387.25</v>
      </c>
      <c r="G1599">
        <v>387.1</v>
      </c>
      <c r="H1599">
        <v>396.25</v>
      </c>
      <c r="I1599">
        <v>53055</v>
      </c>
      <c r="J1599">
        <v>20496226.399999999</v>
      </c>
      <c r="K1599" s="13">
        <v>43994</v>
      </c>
      <c r="L1599">
        <v>2553</v>
      </c>
      <c r="M1599" t="s">
        <v>2582</v>
      </c>
    </row>
    <row r="1600" spans="1:13" x14ac:dyDescent="0.35">
      <c r="A1600" t="s">
        <v>2583</v>
      </c>
      <c r="B1600" t="s">
        <v>18</v>
      </c>
      <c r="C1600">
        <v>302.7</v>
      </c>
      <c r="D1600">
        <v>344.6</v>
      </c>
      <c r="E1600">
        <v>302.7</v>
      </c>
      <c r="F1600">
        <v>326.5</v>
      </c>
      <c r="G1600">
        <v>328.4</v>
      </c>
      <c r="H1600">
        <v>318.2</v>
      </c>
      <c r="I1600">
        <v>35543</v>
      </c>
      <c r="J1600">
        <v>11643382.35</v>
      </c>
      <c r="K1600" s="13">
        <v>43994</v>
      </c>
      <c r="L1600">
        <v>1144</v>
      </c>
      <c r="M1600" t="s">
        <v>2584</v>
      </c>
    </row>
    <row r="1601" spans="1:13" x14ac:dyDescent="0.35">
      <c r="A1601" t="s">
        <v>2585</v>
      </c>
      <c r="B1601" t="s">
        <v>18</v>
      </c>
      <c r="C1601">
        <v>46.55</v>
      </c>
      <c r="D1601">
        <v>53.45</v>
      </c>
      <c r="E1601">
        <v>46.5</v>
      </c>
      <c r="F1601">
        <v>51.9</v>
      </c>
      <c r="G1601">
        <v>51.95</v>
      </c>
      <c r="H1601">
        <v>50.15</v>
      </c>
      <c r="I1601">
        <v>209233</v>
      </c>
      <c r="J1601">
        <v>10657647.75</v>
      </c>
      <c r="K1601" s="13">
        <v>43994</v>
      </c>
      <c r="L1601">
        <v>2181</v>
      </c>
      <c r="M1601" t="s">
        <v>2586</v>
      </c>
    </row>
    <row r="1602" spans="1:13" x14ac:dyDescent="0.35">
      <c r="A1602" t="s">
        <v>2587</v>
      </c>
      <c r="B1602" t="s">
        <v>18</v>
      </c>
      <c r="C1602">
        <v>28.3</v>
      </c>
      <c r="D1602">
        <v>29.5</v>
      </c>
      <c r="E1602">
        <v>27.3</v>
      </c>
      <c r="F1602">
        <v>29.1</v>
      </c>
      <c r="G1602">
        <v>29.05</v>
      </c>
      <c r="H1602">
        <v>28.8</v>
      </c>
      <c r="I1602">
        <v>312234</v>
      </c>
      <c r="J1602">
        <v>8811058.8000000007</v>
      </c>
      <c r="K1602" s="13">
        <v>43994</v>
      </c>
      <c r="L1602">
        <v>1781</v>
      </c>
      <c r="M1602" t="s">
        <v>2588</v>
      </c>
    </row>
    <row r="1603" spans="1:13" x14ac:dyDescent="0.35">
      <c r="A1603" t="s">
        <v>2589</v>
      </c>
      <c r="B1603" t="s">
        <v>18</v>
      </c>
      <c r="C1603">
        <v>203.5</v>
      </c>
      <c r="D1603">
        <v>224.75</v>
      </c>
      <c r="E1603">
        <v>203.5</v>
      </c>
      <c r="F1603">
        <v>221.9</v>
      </c>
      <c r="G1603">
        <v>221.6</v>
      </c>
      <c r="H1603">
        <v>217.75</v>
      </c>
      <c r="I1603">
        <v>308968</v>
      </c>
      <c r="J1603">
        <v>65868698.5</v>
      </c>
      <c r="K1603" s="13">
        <v>43994</v>
      </c>
      <c r="L1603">
        <v>7029</v>
      </c>
      <c r="M1603" t="s">
        <v>2590</v>
      </c>
    </row>
    <row r="1604" spans="1:13" x14ac:dyDescent="0.35">
      <c r="A1604" t="s">
        <v>2591</v>
      </c>
      <c r="B1604" t="s">
        <v>18</v>
      </c>
      <c r="C1604">
        <v>520.04999999999995</v>
      </c>
      <c r="D1604">
        <v>548.70000000000005</v>
      </c>
      <c r="E1604">
        <v>517</v>
      </c>
      <c r="F1604">
        <v>543.70000000000005</v>
      </c>
      <c r="G1604">
        <v>544</v>
      </c>
      <c r="H1604">
        <v>537.35</v>
      </c>
      <c r="I1604">
        <v>28185</v>
      </c>
      <c r="J1604">
        <v>15054498.4</v>
      </c>
      <c r="K1604" s="13">
        <v>43994</v>
      </c>
      <c r="L1604">
        <v>1445</v>
      </c>
      <c r="M1604" t="s">
        <v>2592</v>
      </c>
    </row>
    <row r="1605" spans="1:13" x14ac:dyDescent="0.35">
      <c r="A1605" t="s">
        <v>2593</v>
      </c>
      <c r="B1605" t="s">
        <v>18</v>
      </c>
      <c r="C1605">
        <v>933</v>
      </c>
      <c r="D1605">
        <v>970.55</v>
      </c>
      <c r="E1605">
        <v>933</v>
      </c>
      <c r="F1605">
        <v>960.2</v>
      </c>
      <c r="G1605">
        <v>966</v>
      </c>
      <c r="H1605">
        <v>971</v>
      </c>
      <c r="I1605">
        <v>14902</v>
      </c>
      <c r="J1605">
        <v>14148834.300000001</v>
      </c>
      <c r="K1605" s="13">
        <v>43994</v>
      </c>
      <c r="L1605">
        <v>837</v>
      </c>
      <c r="M1605" t="s">
        <v>2594</v>
      </c>
    </row>
    <row r="1606" spans="1:13" x14ac:dyDescent="0.35">
      <c r="A1606" t="s">
        <v>2595</v>
      </c>
      <c r="B1606" t="s">
        <v>18</v>
      </c>
      <c r="C1606">
        <v>103.5</v>
      </c>
      <c r="D1606">
        <v>114.7</v>
      </c>
      <c r="E1606">
        <v>101.55</v>
      </c>
      <c r="F1606">
        <v>111.7</v>
      </c>
      <c r="G1606">
        <v>112</v>
      </c>
      <c r="H1606">
        <v>112.4</v>
      </c>
      <c r="I1606">
        <v>103311</v>
      </c>
      <c r="J1606">
        <v>11285472.449999999</v>
      </c>
      <c r="K1606" s="13">
        <v>43994</v>
      </c>
      <c r="L1606">
        <v>2161</v>
      </c>
      <c r="M1606" t="s">
        <v>2596</v>
      </c>
    </row>
    <row r="1607" spans="1:13" x14ac:dyDescent="0.35">
      <c r="A1607" t="s">
        <v>2597</v>
      </c>
      <c r="B1607" t="s">
        <v>18</v>
      </c>
      <c r="C1607">
        <v>2.75</v>
      </c>
      <c r="D1607">
        <v>2.75</v>
      </c>
      <c r="E1607">
        <v>2.75</v>
      </c>
      <c r="F1607">
        <v>2.75</v>
      </c>
      <c r="G1607">
        <v>2.75</v>
      </c>
      <c r="H1607">
        <v>2.65</v>
      </c>
      <c r="I1607">
        <v>2000</v>
      </c>
      <c r="J1607">
        <v>5500</v>
      </c>
      <c r="K1607" s="13">
        <v>43994</v>
      </c>
      <c r="L1607">
        <v>2</v>
      </c>
      <c r="M1607" t="s">
        <v>2598</v>
      </c>
    </row>
    <row r="1608" spans="1:13" x14ac:dyDescent="0.35">
      <c r="A1608" t="s">
        <v>2599</v>
      </c>
      <c r="B1608" t="s">
        <v>18</v>
      </c>
      <c r="C1608">
        <v>13.6</v>
      </c>
      <c r="D1608">
        <v>16.149999999999999</v>
      </c>
      <c r="E1608">
        <v>13.55</v>
      </c>
      <c r="F1608">
        <v>15.3</v>
      </c>
      <c r="G1608">
        <v>15.4</v>
      </c>
      <c r="H1608">
        <v>15</v>
      </c>
      <c r="I1608">
        <v>1291</v>
      </c>
      <c r="J1608">
        <v>18458.650000000001</v>
      </c>
      <c r="K1608" s="13">
        <v>43994</v>
      </c>
      <c r="L1608">
        <v>22</v>
      </c>
      <c r="M1608" t="s">
        <v>2600</v>
      </c>
    </row>
    <row r="1609" spans="1:13" x14ac:dyDescent="0.35">
      <c r="A1609" t="s">
        <v>2601</v>
      </c>
      <c r="B1609" t="s">
        <v>18</v>
      </c>
      <c r="C1609">
        <v>220.1</v>
      </c>
      <c r="D1609">
        <v>224.15</v>
      </c>
      <c r="E1609">
        <v>215.1</v>
      </c>
      <c r="F1609">
        <v>222.8</v>
      </c>
      <c r="G1609">
        <v>222.05</v>
      </c>
      <c r="H1609">
        <v>228.3</v>
      </c>
      <c r="I1609">
        <v>223299</v>
      </c>
      <c r="J1609">
        <v>49350476.700000003</v>
      </c>
      <c r="K1609" s="13">
        <v>43994</v>
      </c>
      <c r="L1609">
        <v>7334</v>
      </c>
      <c r="M1609" t="s">
        <v>2602</v>
      </c>
    </row>
    <row r="1610" spans="1:13" x14ac:dyDescent="0.35">
      <c r="A1610" t="s">
        <v>3982</v>
      </c>
      <c r="B1610" t="s">
        <v>3381</v>
      </c>
      <c r="C1610">
        <v>8.8000000000000007</v>
      </c>
      <c r="D1610">
        <v>9.25</v>
      </c>
      <c r="E1610">
        <v>8.8000000000000007</v>
      </c>
      <c r="F1610">
        <v>9.25</v>
      </c>
      <c r="G1610">
        <v>9.25</v>
      </c>
      <c r="H1610">
        <v>8.4499999999999993</v>
      </c>
      <c r="I1610">
        <v>12000</v>
      </c>
      <c r="J1610">
        <v>108300</v>
      </c>
      <c r="K1610" s="13">
        <v>43994</v>
      </c>
      <c r="L1610">
        <v>2</v>
      </c>
      <c r="M1610" t="s">
        <v>3983</v>
      </c>
    </row>
    <row r="1611" spans="1:13" x14ac:dyDescent="0.35">
      <c r="A1611" t="s">
        <v>2603</v>
      </c>
      <c r="B1611" t="s">
        <v>18</v>
      </c>
      <c r="C1611">
        <v>54.45</v>
      </c>
      <c r="D1611">
        <v>55.8</v>
      </c>
      <c r="E1611">
        <v>53.5</v>
      </c>
      <c r="F1611">
        <v>55.3</v>
      </c>
      <c r="G1611">
        <v>55</v>
      </c>
      <c r="H1611">
        <v>56.3</v>
      </c>
      <c r="I1611">
        <v>45144</v>
      </c>
      <c r="J1611">
        <v>2455510.9500000002</v>
      </c>
      <c r="K1611" s="13">
        <v>43994</v>
      </c>
      <c r="L1611">
        <v>532</v>
      </c>
      <c r="M1611" t="s">
        <v>2604</v>
      </c>
    </row>
    <row r="1612" spans="1:13" x14ac:dyDescent="0.35">
      <c r="A1612" t="s">
        <v>2605</v>
      </c>
      <c r="B1612" t="s">
        <v>18</v>
      </c>
      <c r="C1612">
        <v>667.95</v>
      </c>
      <c r="D1612">
        <v>688.95</v>
      </c>
      <c r="E1612">
        <v>657.95</v>
      </c>
      <c r="F1612">
        <v>668.8</v>
      </c>
      <c r="G1612">
        <v>668.8</v>
      </c>
      <c r="H1612">
        <v>669.8</v>
      </c>
      <c r="I1612">
        <v>1186</v>
      </c>
      <c r="J1612">
        <v>791174.4</v>
      </c>
      <c r="K1612" s="13">
        <v>43994</v>
      </c>
      <c r="L1612">
        <v>146</v>
      </c>
      <c r="M1612" t="s">
        <v>2606</v>
      </c>
    </row>
    <row r="1613" spans="1:13" x14ac:dyDescent="0.35">
      <c r="A1613" t="s">
        <v>2607</v>
      </c>
      <c r="B1613" t="s">
        <v>18</v>
      </c>
      <c r="C1613">
        <v>6.4</v>
      </c>
      <c r="D1613">
        <v>6.75</v>
      </c>
      <c r="E1613">
        <v>6.35</v>
      </c>
      <c r="F1613">
        <v>6.7</v>
      </c>
      <c r="G1613">
        <v>6.75</v>
      </c>
      <c r="H1613">
        <v>6.85</v>
      </c>
      <c r="I1613">
        <v>13290183</v>
      </c>
      <c r="J1613">
        <v>87717011.349999994</v>
      </c>
      <c r="K1613" s="13">
        <v>43994</v>
      </c>
      <c r="L1613">
        <v>12961</v>
      </c>
      <c r="M1613" t="s">
        <v>2608</v>
      </c>
    </row>
    <row r="1614" spans="1:13" x14ac:dyDescent="0.35">
      <c r="A1614" t="s">
        <v>3984</v>
      </c>
      <c r="B1614" t="s">
        <v>3391</v>
      </c>
      <c r="C1614">
        <v>19.95</v>
      </c>
      <c r="D1614">
        <v>20.9</v>
      </c>
      <c r="E1614">
        <v>19.05</v>
      </c>
      <c r="F1614">
        <v>20.9</v>
      </c>
      <c r="G1614">
        <v>20.9</v>
      </c>
      <c r="H1614">
        <v>19.95</v>
      </c>
      <c r="I1614">
        <v>27662</v>
      </c>
      <c r="J1614">
        <v>549867.25</v>
      </c>
      <c r="K1614" s="13">
        <v>43994</v>
      </c>
      <c r="L1614">
        <v>44</v>
      </c>
      <c r="M1614" t="s">
        <v>3985</v>
      </c>
    </row>
    <row r="1615" spans="1:13" x14ac:dyDescent="0.35">
      <c r="A1615" t="s">
        <v>2609</v>
      </c>
      <c r="B1615" t="s">
        <v>18</v>
      </c>
      <c r="C1615">
        <v>65</v>
      </c>
      <c r="D1615">
        <v>72</v>
      </c>
      <c r="E1615">
        <v>63.3</v>
      </c>
      <c r="F1615">
        <v>70.099999999999994</v>
      </c>
      <c r="G1615">
        <v>70.5</v>
      </c>
      <c r="H1615">
        <v>69.55</v>
      </c>
      <c r="I1615">
        <v>58189</v>
      </c>
      <c r="J1615">
        <v>3994157.35</v>
      </c>
      <c r="K1615" s="13">
        <v>43994</v>
      </c>
      <c r="L1615">
        <v>1209</v>
      </c>
      <c r="M1615" t="s">
        <v>2610</v>
      </c>
    </row>
    <row r="1616" spans="1:13" x14ac:dyDescent="0.35">
      <c r="A1616" t="s">
        <v>2611</v>
      </c>
      <c r="B1616" t="s">
        <v>18</v>
      </c>
      <c r="C1616">
        <v>510.05</v>
      </c>
      <c r="D1616">
        <v>555</v>
      </c>
      <c r="E1616">
        <v>510.05</v>
      </c>
      <c r="F1616">
        <v>542.54999999999995</v>
      </c>
      <c r="G1616">
        <v>540</v>
      </c>
      <c r="H1616">
        <v>536.85</v>
      </c>
      <c r="I1616">
        <v>35429</v>
      </c>
      <c r="J1616">
        <v>18962533</v>
      </c>
      <c r="K1616" s="13">
        <v>43994</v>
      </c>
      <c r="L1616">
        <v>2534</v>
      </c>
      <c r="M1616" t="s">
        <v>2612</v>
      </c>
    </row>
    <row r="1617" spans="1:13" x14ac:dyDescent="0.35">
      <c r="A1617" t="s">
        <v>2613</v>
      </c>
      <c r="B1617" t="s">
        <v>18</v>
      </c>
      <c r="C1617">
        <v>142</v>
      </c>
      <c r="D1617">
        <v>146.9</v>
      </c>
      <c r="E1617">
        <v>141.55000000000001</v>
      </c>
      <c r="F1617">
        <v>145.5</v>
      </c>
      <c r="G1617">
        <v>145.5</v>
      </c>
      <c r="H1617">
        <v>148.5</v>
      </c>
      <c r="I1617">
        <v>694331</v>
      </c>
      <c r="J1617">
        <v>100777360.65000001</v>
      </c>
      <c r="K1617" s="13">
        <v>43994</v>
      </c>
      <c r="L1617">
        <v>9070</v>
      </c>
      <c r="M1617" t="s">
        <v>2614</v>
      </c>
    </row>
    <row r="1618" spans="1:13" x14ac:dyDescent="0.35">
      <c r="A1618" t="s">
        <v>2615</v>
      </c>
      <c r="B1618" t="s">
        <v>18</v>
      </c>
      <c r="C1618">
        <v>35</v>
      </c>
      <c r="D1618">
        <v>36.75</v>
      </c>
      <c r="E1618">
        <v>32.5</v>
      </c>
      <c r="F1618">
        <v>35.9</v>
      </c>
      <c r="G1618">
        <v>35.35</v>
      </c>
      <c r="H1618">
        <v>35.950000000000003</v>
      </c>
      <c r="I1618">
        <v>38896</v>
      </c>
      <c r="J1618">
        <v>1353054.6</v>
      </c>
      <c r="K1618" s="13">
        <v>43994</v>
      </c>
      <c r="L1618">
        <v>387</v>
      </c>
      <c r="M1618" t="s">
        <v>2616</v>
      </c>
    </row>
    <row r="1619" spans="1:13" x14ac:dyDescent="0.35">
      <c r="A1619" t="s">
        <v>2617</v>
      </c>
      <c r="B1619" t="s">
        <v>18</v>
      </c>
      <c r="C1619">
        <v>88.1</v>
      </c>
      <c r="D1619">
        <v>91.8</v>
      </c>
      <c r="E1619">
        <v>88.05</v>
      </c>
      <c r="F1619">
        <v>91.3</v>
      </c>
      <c r="G1619">
        <v>91.5</v>
      </c>
      <c r="H1619">
        <v>92.1</v>
      </c>
      <c r="I1619">
        <v>1167105</v>
      </c>
      <c r="J1619">
        <v>105087220.65000001</v>
      </c>
      <c r="K1619" s="13">
        <v>43994</v>
      </c>
      <c r="L1619">
        <v>9738</v>
      </c>
      <c r="M1619" t="s">
        <v>2618</v>
      </c>
    </row>
    <row r="1620" spans="1:13" x14ac:dyDescent="0.35">
      <c r="A1620" t="s">
        <v>3986</v>
      </c>
      <c r="B1620" t="s">
        <v>3391</v>
      </c>
      <c r="C1620">
        <v>0.5</v>
      </c>
      <c r="D1620">
        <v>0.5</v>
      </c>
      <c r="E1620">
        <v>0.45</v>
      </c>
      <c r="F1620">
        <v>0.45</v>
      </c>
      <c r="G1620">
        <v>0.5</v>
      </c>
      <c r="H1620">
        <v>0.5</v>
      </c>
      <c r="I1620">
        <v>49491</v>
      </c>
      <c r="J1620">
        <v>23029.35</v>
      </c>
      <c r="K1620" s="13">
        <v>43994</v>
      </c>
      <c r="L1620">
        <v>41</v>
      </c>
      <c r="M1620" t="s">
        <v>3987</v>
      </c>
    </row>
    <row r="1621" spans="1:13" x14ac:dyDescent="0.35">
      <c r="A1621" t="s">
        <v>2619</v>
      </c>
      <c r="B1621" t="s">
        <v>18</v>
      </c>
      <c r="C1621">
        <v>16.100000000000001</v>
      </c>
      <c r="D1621">
        <v>16.5</v>
      </c>
      <c r="E1621">
        <v>15.75</v>
      </c>
      <c r="F1621">
        <v>16.3</v>
      </c>
      <c r="G1621">
        <v>16.45</v>
      </c>
      <c r="H1621">
        <v>16.45</v>
      </c>
      <c r="I1621">
        <v>89145</v>
      </c>
      <c r="J1621">
        <v>1440180.85</v>
      </c>
      <c r="K1621" s="13">
        <v>43994</v>
      </c>
      <c r="L1621">
        <v>410</v>
      </c>
      <c r="M1621" t="s">
        <v>2620</v>
      </c>
    </row>
    <row r="1622" spans="1:13" x14ac:dyDescent="0.35">
      <c r="A1622" t="s">
        <v>2621</v>
      </c>
      <c r="B1622" t="s">
        <v>18</v>
      </c>
      <c r="C1622">
        <v>47.55</v>
      </c>
      <c r="D1622">
        <v>52</v>
      </c>
      <c r="E1622">
        <v>47.5</v>
      </c>
      <c r="F1622">
        <v>51.75</v>
      </c>
      <c r="G1622">
        <v>52</v>
      </c>
      <c r="H1622">
        <v>51.8</v>
      </c>
      <c r="I1622">
        <v>3452811</v>
      </c>
      <c r="J1622">
        <v>172750740.40000001</v>
      </c>
      <c r="K1622" s="13">
        <v>43994</v>
      </c>
      <c r="L1622">
        <v>20532</v>
      </c>
      <c r="M1622" t="s">
        <v>2622</v>
      </c>
    </row>
    <row r="1623" spans="1:13" x14ac:dyDescent="0.35">
      <c r="A1623" t="s">
        <v>2623</v>
      </c>
      <c r="B1623" t="s">
        <v>18</v>
      </c>
      <c r="C1623">
        <v>23.7</v>
      </c>
      <c r="D1623">
        <v>26</v>
      </c>
      <c r="E1623">
        <v>22.75</v>
      </c>
      <c r="F1623">
        <v>25.4</v>
      </c>
      <c r="G1623">
        <v>25.75</v>
      </c>
      <c r="H1623">
        <v>25.7</v>
      </c>
      <c r="I1623">
        <v>25512</v>
      </c>
      <c r="J1623">
        <v>633058.80000000005</v>
      </c>
      <c r="K1623" s="13">
        <v>43994</v>
      </c>
      <c r="L1623">
        <v>754</v>
      </c>
      <c r="M1623" t="s">
        <v>2624</v>
      </c>
    </row>
    <row r="1624" spans="1:13" x14ac:dyDescent="0.35">
      <c r="A1624" t="s">
        <v>2625</v>
      </c>
      <c r="B1624" t="s">
        <v>18</v>
      </c>
      <c r="C1624">
        <v>7.9</v>
      </c>
      <c r="D1624">
        <v>8.4</v>
      </c>
      <c r="E1624">
        <v>7.45</v>
      </c>
      <c r="F1624">
        <v>8.25</v>
      </c>
      <c r="G1624">
        <v>8.1999999999999993</v>
      </c>
      <c r="H1624">
        <v>7.9</v>
      </c>
      <c r="I1624">
        <v>9428</v>
      </c>
      <c r="J1624">
        <v>76656.3</v>
      </c>
      <c r="K1624" s="13">
        <v>43994</v>
      </c>
      <c r="L1624">
        <v>53</v>
      </c>
      <c r="M1624" t="s">
        <v>2626</v>
      </c>
    </row>
    <row r="1625" spans="1:13" x14ac:dyDescent="0.35">
      <c r="A1625" t="s">
        <v>3988</v>
      </c>
      <c r="B1625" t="s">
        <v>3391</v>
      </c>
      <c r="C1625">
        <v>1.9</v>
      </c>
      <c r="D1625">
        <v>1.9</v>
      </c>
      <c r="E1625">
        <v>1.8</v>
      </c>
      <c r="F1625">
        <v>1.9</v>
      </c>
      <c r="G1625">
        <v>1.9</v>
      </c>
      <c r="H1625">
        <v>1.85</v>
      </c>
      <c r="I1625">
        <v>6844593</v>
      </c>
      <c r="J1625">
        <v>12945113.949999999</v>
      </c>
      <c r="K1625" s="13">
        <v>43994</v>
      </c>
      <c r="L1625">
        <v>1899</v>
      </c>
      <c r="M1625" t="s">
        <v>3989</v>
      </c>
    </row>
    <row r="1626" spans="1:13" x14ac:dyDescent="0.35">
      <c r="A1626" t="s">
        <v>2627</v>
      </c>
      <c r="B1626" t="s">
        <v>18</v>
      </c>
      <c r="C1626">
        <v>128.1</v>
      </c>
      <c r="D1626">
        <v>142.9</v>
      </c>
      <c r="E1626">
        <v>128.1</v>
      </c>
      <c r="F1626">
        <v>139.80000000000001</v>
      </c>
      <c r="G1626">
        <v>133.69999999999999</v>
      </c>
      <c r="H1626">
        <v>136.25</v>
      </c>
      <c r="I1626">
        <v>5139</v>
      </c>
      <c r="J1626">
        <v>684262.9</v>
      </c>
      <c r="K1626" s="13">
        <v>43994</v>
      </c>
      <c r="L1626">
        <v>319</v>
      </c>
      <c r="M1626" t="s">
        <v>2628</v>
      </c>
    </row>
    <row r="1627" spans="1:13" x14ac:dyDescent="0.35">
      <c r="A1627" t="s">
        <v>3990</v>
      </c>
      <c r="B1627" t="s">
        <v>3608</v>
      </c>
      <c r="C1627">
        <v>775</v>
      </c>
      <c r="D1627">
        <v>775</v>
      </c>
      <c r="E1627">
        <v>770</v>
      </c>
      <c r="F1627">
        <v>770</v>
      </c>
      <c r="G1627">
        <v>770</v>
      </c>
      <c r="H1627">
        <v>770</v>
      </c>
      <c r="I1627">
        <v>215</v>
      </c>
      <c r="J1627">
        <v>166550</v>
      </c>
      <c r="K1627" s="13">
        <v>43994</v>
      </c>
      <c r="L1627">
        <v>3</v>
      </c>
      <c r="M1627" t="s">
        <v>3991</v>
      </c>
    </row>
    <row r="1628" spans="1:13" x14ac:dyDescent="0.35">
      <c r="A1628" t="s">
        <v>3990</v>
      </c>
      <c r="B1628" t="s">
        <v>3992</v>
      </c>
      <c r="C1628">
        <v>725</v>
      </c>
      <c r="D1628">
        <v>729</v>
      </c>
      <c r="E1628">
        <v>725</v>
      </c>
      <c r="F1628">
        <v>729</v>
      </c>
      <c r="G1628">
        <v>729</v>
      </c>
      <c r="H1628">
        <v>736.23</v>
      </c>
      <c r="I1628">
        <v>61</v>
      </c>
      <c r="J1628">
        <v>44413</v>
      </c>
      <c r="K1628" s="13">
        <v>43994</v>
      </c>
      <c r="L1628">
        <v>6</v>
      </c>
      <c r="M1628" t="s">
        <v>3993</v>
      </c>
    </row>
    <row r="1629" spans="1:13" x14ac:dyDescent="0.35">
      <c r="A1629" t="s">
        <v>3990</v>
      </c>
      <c r="B1629" t="s">
        <v>3462</v>
      </c>
      <c r="C1629">
        <v>890</v>
      </c>
      <c r="D1629">
        <v>899</v>
      </c>
      <c r="E1629">
        <v>890</v>
      </c>
      <c r="F1629">
        <v>897.19</v>
      </c>
      <c r="G1629">
        <v>899</v>
      </c>
      <c r="H1629">
        <v>799.06</v>
      </c>
      <c r="I1629">
        <v>50</v>
      </c>
      <c r="J1629">
        <v>44859.86</v>
      </c>
      <c r="K1629" s="13">
        <v>43994</v>
      </c>
      <c r="L1629">
        <v>5</v>
      </c>
      <c r="M1629" t="s">
        <v>3994</v>
      </c>
    </row>
    <row r="1630" spans="1:13" x14ac:dyDescent="0.35">
      <c r="A1630" t="s">
        <v>3990</v>
      </c>
      <c r="B1630" t="s">
        <v>3696</v>
      </c>
      <c r="C1630">
        <v>800</v>
      </c>
      <c r="D1630">
        <v>800</v>
      </c>
      <c r="E1630">
        <v>777</v>
      </c>
      <c r="F1630">
        <v>777</v>
      </c>
      <c r="G1630">
        <v>777</v>
      </c>
      <c r="H1630">
        <v>784.82</v>
      </c>
      <c r="I1630">
        <v>73</v>
      </c>
      <c r="J1630">
        <v>56990</v>
      </c>
      <c r="K1630" s="13">
        <v>43994</v>
      </c>
      <c r="L1630">
        <v>10</v>
      </c>
      <c r="M1630" t="s">
        <v>3995</v>
      </c>
    </row>
    <row r="1631" spans="1:13" x14ac:dyDescent="0.35">
      <c r="A1631" t="s">
        <v>3990</v>
      </c>
      <c r="B1631" t="s">
        <v>3702</v>
      </c>
      <c r="C1631">
        <v>1001</v>
      </c>
      <c r="D1631">
        <v>1050</v>
      </c>
      <c r="E1631">
        <v>1001</v>
      </c>
      <c r="F1631">
        <v>1050</v>
      </c>
      <c r="G1631">
        <v>1050</v>
      </c>
      <c r="H1631">
        <v>1074</v>
      </c>
      <c r="I1631">
        <v>80</v>
      </c>
      <c r="J1631">
        <v>81550</v>
      </c>
      <c r="K1631" s="13">
        <v>43994</v>
      </c>
      <c r="L1631">
        <v>5</v>
      </c>
      <c r="M1631" t="s">
        <v>3996</v>
      </c>
    </row>
    <row r="1632" spans="1:13" x14ac:dyDescent="0.35">
      <c r="A1632" t="s">
        <v>2629</v>
      </c>
      <c r="B1632" t="s">
        <v>18</v>
      </c>
      <c r="C1632">
        <v>6.65</v>
      </c>
      <c r="D1632">
        <v>7.35</v>
      </c>
      <c r="E1632">
        <v>6.65</v>
      </c>
      <c r="F1632">
        <v>6.95</v>
      </c>
      <c r="G1632">
        <v>7.1</v>
      </c>
      <c r="H1632">
        <v>7</v>
      </c>
      <c r="I1632">
        <v>14121948</v>
      </c>
      <c r="J1632">
        <v>97560211.849999994</v>
      </c>
      <c r="K1632" s="13">
        <v>43994</v>
      </c>
      <c r="L1632">
        <v>9548</v>
      </c>
      <c r="M1632" t="s">
        <v>2630</v>
      </c>
    </row>
    <row r="1633" spans="1:13" x14ac:dyDescent="0.35">
      <c r="A1633" t="s">
        <v>2631</v>
      </c>
      <c r="B1633" t="s">
        <v>18</v>
      </c>
      <c r="C1633">
        <v>3550</v>
      </c>
      <c r="D1633">
        <v>3694.4</v>
      </c>
      <c r="E1633">
        <v>3529.2</v>
      </c>
      <c r="F1633">
        <v>3683</v>
      </c>
      <c r="G1633">
        <v>3680.1</v>
      </c>
      <c r="H1633">
        <v>3625.7</v>
      </c>
      <c r="I1633">
        <v>232589</v>
      </c>
      <c r="J1633">
        <v>845240810.10000002</v>
      </c>
      <c r="K1633" s="13">
        <v>43994</v>
      </c>
      <c r="L1633">
        <v>23457</v>
      </c>
      <c r="M1633" t="s">
        <v>2632</v>
      </c>
    </row>
    <row r="1634" spans="1:13" x14ac:dyDescent="0.35">
      <c r="A1634" t="s">
        <v>2633</v>
      </c>
      <c r="B1634" t="s">
        <v>18</v>
      </c>
      <c r="C1634">
        <v>97.45</v>
      </c>
      <c r="D1634">
        <v>117</v>
      </c>
      <c r="E1634">
        <v>97.45</v>
      </c>
      <c r="F1634">
        <v>107.35</v>
      </c>
      <c r="G1634">
        <v>107</v>
      </c>
      <c r="H1634">
        <v>106.7</v>
      </c>
      <c r="I1634">
        <v>6506</v>
      </c>
      <c r="J1634">
        <v>703460.55</v>
      </c>
      <c r="K1634" s="13">
        <v>43994</v>
      </c>
      <c r="L1634">
        <v>196</v>
      </c>
      <c r="M1634" t="s">
        <v>2634</v>
      </c>
    </row>
    <row r="1635" spans="1:13" x14ac:dyDescent="0.35">
      <c r="A1635" t="s">
        <v>2635</v>
      </c>
      <c r="B1635" t="s">
        <v>18</v>
      </c>
      <c r="C1635">
        <v>164.95</v>
      </c>
      <c r="D1635">
        <v>169.45</v>
      </c>
      <c r="E1635">
        <v>161.35</v>
      </c>
      <c r="F1635">
        <v>168.3</v>
      </c>
      <c r="G1635">
        <v>168</v>
      </c>
      <c r="H1635">
        <v>168.3</v>
      </c>
      <c r="I1635">
        <v>52974</v>
      </c>
      <c r="J1635">
        <v>8754472.1999999993</v>
      </c>
      <c r="K1635" s="13">
        <v>43994</v>
      </c>
      <c r="L1635">
        <v>1484</v>
      </c>
      <c r="M1635" t="s">
        <v>2636</v>
      </c>
    </row>
    <row r="1636" spans="1:13" x14ac:dyDescent="0.35">
      <c r="A1636" t="s">
        <v>2637</v>
      </c>
      <c r="B1636" t="s">
        <v>18</v>
      </c>
      <c r="C1636">
        <v>615</v>
      </c>
      <c r="D1636">
        <v>693.7</v>
      </c>
      <c r="E1636">
        <v>606</v>
      </c>
      <c r="F1636">
        <v>684.4</v>
      </c>
      <c r="G1636">
        <v>687</v>
      </c>
      <c r="H1636">
        <v>637.9</v>
      </c>
      <c r="I1636">
        <v>12250897</v>
      </c>
      <c r="J1636">
        <v>8025936517.1999998</v>
      </c>
      <c r="K1636" s="13">
        <v>43994</v>
      </c>
      <c r="L1636">
        <v>197223</v>
      </c>
      <c r="M1636" t="s">
        <v>2638</v>
      </c>
    </row>
    <row r="1637" spans="1:13" x14ac:dyDescent="0.35">
      <c r="A1637" t="s">
        <v>2637</v>
      </c>
      <c r="B1637" t="s">
        <v>3698</v>
      </c>
      <c r="C1637">
        <v>1030</v>
      </c>
      <c r="D1637">
        <v>1040</v>
      </c>
      <c r="E1637">
        <v>1030</v>
      </c>
      <c r="F1637">
        <v>1040</v>
      </c>
      <c r="G1637">
        <v>1040</v>
      </c>
      <c r="H1637">
        <v>1048</v>
      </c>
      <c r="I1637">
        <v>150</v>
      </c>
      <c r="J1637">
        <v>155500</v>
      </c>
      <c r="K1637" s="13">
        <v>43994</v>
      </c>
      <c r="L1637">
        <v>10</v>
      </c>
      <c r="M1637" t="s">
        <v>3997</v>
      </c>
    </row>
    <row r="1638" spans="1:13" x14ac:dyDescent="0.35">
      <c r="A1638" t="s">
        <v>2637</v>
      </c>
      <c r="B1638" t="s">
        <v>3702</v>
      </c>
      <c r="C1638">
        <v>2119.1999999999998</v>
      </c>
      <c r="D1638">
        <v>2119.1999999999998</v>
      </c>
      <c r="E1638">
        <v>2100</v>
      </c>
      <c r="F1638">
        <v>2100</v>
      </c>
      <c r="G1638">
        <v>2100</v>
      </c>
      <c r="H1638">
        <v>2100</v>
      </c>
      <c r="I1638">
        <v>4</v>
      </c>
      <c r="J1638">
        <v>8438.4</v>
      </c>
      <c r="K1638" s="13">
        <v>43994</v>
      </c>
      <c r="L1638">
        <v>3</v>
      </c>
      <c r="M1638" t="s">
        <v>3998</v>
      </c>
    </row>
    <row r="1639" spans="1:13" x14ac:dyDescent="0.35">
      <c r="A1639" t="s">
        <v>2637</v>
      </c>
      <c r="B1639" t="s">
        <v>3999</v>
      </c>
      <c r="C1639">
        <v>1093</v>
      </c>
      <c r="D1639">
        <v>1093.0999999999999</v>
      </c>
      <c r="E1639">
        <v>1093</v>
      </c>
      <c r="F1639">
        <v>1093.0999999999999</v>
      </c>
      <c r="G1639">
        <v>1093.0999999999999</v>
      </c>
      <c r="H1639">
        <v>1092</v>
      </c>
      <c r="I1639">
        <v>85</v>
      </c>
      <c r="J1639">
        <v>92912.5</v>
      </c>
      <c r="K1639" s="13">
        <v>43994</v>
      </c>
      <c r="L1639">
        <v>2</v>
      </c>
      <c r="M1639" t="s">
        <v>4000</v>
      </c>
    </row>
    <row r="1640" spans="1:13" x14ac:dyDescent="0.35">
      <c r="A1640" t="s">
        <v>2637</v>
      </c>
      <c r="B1640" t="s">
        <v>4001</v>
      </c>
      <c r="C1640">
        <v>1007</v>
      </c>
      <c r="D1640">
        <v>1007</v>
      </c>
      <c r="E1640">
        <v>1007</v>
      </c>
      <c r="F1640">
        <v>1007</v>
      </c>
      <c r="G1640">
        <v>1007</v>
      </c>
      <c r="H1640">
        <v>1017.99</v>
      </c>
      <c r="I1640">
        <v>50</v>
      </c>
      <c r="J1640">
        <v>50350</v>
      </c>
      <c r="K1640" s="13">
        <v>43994</v>
      </c>
      <c r="L1640">
        <v>1</v>
      </c>
      <c r="M1640" t="s">
        <v>4002</v>
      </c>
    </row>
    <row r="1641" spans="1:13" x14ac:dyDescent="0.35">
      <c r="A1641" t="s">
        <v>2637</v>
      </c>
      <c r="B1641" t="s">
        <v>4003</v>
      </c>
      <c r="C1641">
        <v>944.9</v>
      </c>
      <c r="D1641">
        <v>944.9</v>
      </c>
      <c r="E1641">
        <v>940</v>
      </c>
      <c r="F1641">
        <v>940.16</v>
      </c>
      <c r="G1641">
        <v>940</v>
      </c>
      <c r="H1641">
        <v>927.01</v>
      </c>
      <c r="I1641">
        <v>65</v>
      </c>
      <c r="J1641">
        <v>61134.5</v>
      </c>
      <c r="K1641" s="13">
        <v>43994</v>
      </c>
      <c r="L1641">
        <v>6</v>
      </c>
      <c r="M1641" t="s">
        <v>4004</v>
      </c>
    </row>
    <row r="1642" spans="1:13" x14ac:dyDescent="0.35">
      <c r="A1642" t="s">
        <v>2637</v>
      </c>
      <c r="B1642" t="s">
        <v>4005</v>
      </c>
      <c r="C1642">
        <v>987.8</v>
      </c>
      <c r="D1642">
        <v>1019</v>
      </c>
      <c r="E1642">
        <v>987.8</v>
      </c>
      <c r="F1642">
        <v>1018.68</v>
      </c>
      <c r="G1642">
        <v>1019</v>
      </c>
      <c r="H1642">
        <v>1015.76</v>
      </c>
      <c r="I1642">
        <v>217</v>
      </c>
      <c r="J1642">
        <v>218985.4</v>
      </c>
      <c r="K1642" s="13">
        <v>43994</v>
      </c>
      <c r="L1642">
        <v>12</v>
      </c>
      <c r="M1642" t="s">
        <v>4006</v>
      </c>
    </row>
    <row r="1643" spans="1:13" x14ac:dyDescent="0.35">
      <c r="A1643" t="s">
        <v>2637</v>
      </c>
      <c r="B1643" t="s">
        <v>4007</v>
      </c>
      <c r="C1643">
        <v>999</v>
      </c>
      <c r="D1643">
        <v>999</v>
      </c>
      <c r="E1643">
        <v>998</v>
      </c>
      <c r="F1643">
        <v>998</v>
      </c>
      <c r="G1643">
        <v>998</v>
      </c>
      <c r="H1643">
        <v>999</v>
      </c>
      <c r="I1643">
        <v>30</v>
      </c>
      <c r="J1643">
        <v>29950</v>
      </c>
      <c r="K1643" s="13">
        <v>43994</v>
      </c>
      <c r="L1643">
        <v>2</v>
      </c>
      <c r="M1643" t="s">
        <v>4008</v>
      </c>
    </row>
    <row r="1644" spans="1:13" x14ac:dyDescent="0.35">
      <c r="A1644" t="s">
        <v>2637</v>
      </c>
      <c r="B1644" t="s">
        <v>4009</v>
      </c>
      <c r="C1644">
        <v>1131</v>
      </c>
      <c r="D1644">
        <v>1140</v>
      </c>
      <c r="E1644">
        <v>1130.5</v>
      </c>
      <c r="F1644">
        <v>1130.81</v>
      </c>
      <c r="G1644">
        <v>1139</v>
      </c>
      <c r="H1644">
        <v>1125</v>
      </c>
      <c r="I1644">
        <v>162</v>
      </c>
      <c r="J1644">
        <v>183196</v>
      </c>
      <c r="K1644" s="13">
        <v>43994</v>
      </c>
      <c r="L1644">
        <v>12</v>
      </c>
      <c r="M1644" t="s">
        <v>4010</v>
      </c>
    </row>
    <row r="1645" spans="1:13" x14ac:dyDescent="0.35">
      <c r="A1645" t="s">
        <v>2637</v>
      </c>
      <c r="B1645" t="s">
        <v>4011</v>
      </c>
      <c r="C1645">
        <v>1074.5</v>
      </c>
      <c r="D1645">
        <v>1075</v>
      </c>
      <c r="E1645">
        <v>1074.5</v>
      </c>
      <c r="F1645">
        <v>1075</v>
      </c>
      <c r="G1645">
        <v>1075</v>
      </c>
      <c r="H1645">
        <v>1075.4000000000001</v>
      </c>
      <c r="I1645">
        <v>345</v>
      </c>
      <c r="J1645">
        <v>370858.5</v>
      </c>
      <c r="K1645" s="13">
        <v>43994</v>
      </c>
      <c r="L1645">
        <v>7</v>
      </c>
      <c r="M1645" t="s">
        <v>4012</v>
      </c>
    </row>
    <row r="1646" spans="1:13" x14ac:dyDescent="0.35">
      <c r="A1646" t="s">
        <v>2637</v>
      </c>
      <c r="B1646" t="s">
        <v>4013</v>
      </c>
      <c r="C1646">
        <v>995</v>
      </c>
      <c r="D1646">
        <v>995</v>
      </c>
      <c r="E1646">
        <v>990</v>
      </c>
      <c r="F1646">
        <v>990</v>
      </c>
      <c r="G1646">
        <v>990</v>
      </c>
      <c r="H1646">
        <v>960.4</v>
      </c>
      <c r="I1646">
        <v>30</v>
      </c>
      <c r="J1646">
        <v>29800</v>
      </c>
      <c r="K1646" s="13">
        <v>43994</v>
      </c>
      <c r="L1646">
        <v>3</v>
      </c>
      <c r="M1646" t="s">
        <v>4014</v>
      </c>
    </row>
    <row r="1647" spans="1:13" x14ac:dyDescent="0.35">
      <c r="A1647" t="s">
        <v>2637</v>
      </c>
      <c r="B1647" t="s">
        <v>4015</v>
      </c>
      <c r="C1647">
        <v>1001</v>
      </c>
      <c r="D1647">
        <v>1001</v>
      </c>
      <c r="E1647">
        <v>1001</v>
      </c>
      <c r="F1647">
        <v>1001</v>
      </c>
      <c r="G1647">
        <v>1001</v>
      </c>
      <c r="H1647">
        <v>1001.01</v>
      </c>
      <c r="I1647">
        <v>20</v>
      </c>
      <c r="J1647">
        <v>20020</v>
      </c>
      <c r="K1647" s="13">
        <v>43994</v>
      </c>
      <c r="L1647">
        <v>1</v>
      </c>
      <c r="M1647" t="s">
        <v>4016</v>
      </c>
    </row>
    <row r="1648" spans="1:13" x14ac:dyDescent="0.35">
      <c r="A1648" t="s">
        <v>2637</v>
      </c>
      <c r="B1648" t="s">
        <v>4017</v>
      </c>
      <c r="C1648">
        <v>978</v>
      </c>
      <c r="D1648">
        <v>978</v>
      </c>
      <c r="E1648">
        <v>970</v>
      </c>
      <c r="F1648">
        <v>974</v>
      </c>
      <c r="G1648">
        <v>974</v>
      </c>
      <c r="H1648">
        <v>955.01</v>
      </c>
      <c r="I1648">
        <v>303</v>
      </c>
      <c r="J1648">
        <v>295099.15000000002</v>
      </c>
      <c r="K1648" s="13">
        <v>43994</v>
      </c>
      <c r="L1648">
        <v>12</v>
      </c>
      <c r="M1648" t="s">
        <v>4018</v>
      </c>
    </row>
    <row r="1649" spans="1:13" x14ac:dyDescent="0.35">
      <c r="A1649" t="s">
        <v>2637</v>
      </c>
      <c r="B1649" t="s">
        <v>4019</v>
      </c>
      <c r="C1649">
        <v>1010</v>
      </c>
      <c r="D1649">
        <v>1010</v>
      </c>
      <c r="E1649">
        <v>1010</v>
      </c>
      <c r="F1649">
        <v>1010</v>
      </c>
      <c r="G1649">
        <v>1010</v>
      </c>
      <c r="H1649">
        <v>1010</v>
      </c>
      <c r="I1649">
        <v>5</v>
      </c>
      <c r="J1649">
        <v>5050</v>
      </c>
      <c r="K1649" s="13">
        <v>43994</v>
      </c>
      <c r="L1649">
        <v>1</v>
      </c>
      <c r="M1649" t="s">
        <v>4020</v>
      </c>
    </row>
    <row r="1650" spans="1:13" x14ac:dyDescent="0.35">
      <c r="A1650" t="s">
        <v>2637</v>
      </c>
      <c r="B1650" t="s">
        <v>4021</v>
      </c>
      <c r="C1650">
        <v>1064.1099999999999</v>
      </c>
      <c r="D1650">
        <v>1064.1099999999999</v>
      </c>
      <c r="E1650">
        <v>1064.1099999999999</v>
      </c>
      <c r="F1650">
        <v>1064.1099999999999</v>
      </c>
      <c r="G1650">
        <v>0</v>
      </c>
      <c r="H1650">
        <v>1082</v>
      </c>
      <c r="I1650">
        <v>100</v>
      </c>
      <c r="J1650">
        <v>106411</v>
      </c>
      <c r="K1650" s="13">
        <v>43994</v>
      </c>
      <c r="L1650">
        <v>2</v>
      </c>
      <c r="M1650" t="s">
        <v>4022</v>
      </c>
    </row>
    <row r="1651" spans="1:13" x14ac:dyDescent="0.35">
      <c r="A1651" t="s">
        <v>2637</v>
      </c>
      <c r="B1651" t="s">
        <v>4023</v>
      </c>
      <c r="C1651">
        <v>965</v>
      </c>
      <c r="D1651">
        <v>970</v>
      </c>
      <c r="E1651">
        <v>960</v>
      </c>
      <c r="F1651">
        <v>970</v>
      </c>
      <c r="G1651">
        <v>970</v>
      </c>
      <c r="H1651">
        <v>960</v>
      </c>
      <c r="I1651">
        <v>220</v>
      </c>
      <c r="J1651">
        <v>212300</v>
      </c>
      <c r="K1651" s="13">
        <v>43994</v>
      </c>
      <c r="L1651">
        <v>3</v>
      </c>
      <c r="M1651" t="s">
        <v>4024</v>
      </c>
    </row>
    <row r="1652" spans="1:13" x14ac:dyDescent="0.35">
      <c r="A1652" t="s">
        <v>2637</v>
      </c>
      <c r="B1652" t="s">
        <v>4025</v>
      </c>
      <c r="C1652">
        <v>966.3</v>
      </c>
      <c r="D1652">
        <v>975</v>
      </c>
      <c r="E1652">
        <v>966.3</v>
      </c>
      <c r="F1652">
        <v>975</v>
      </c>
      <c r="G1652">
        <v>975</v>
      </c>
      <c r="H1652">
        <v>974.94</v>
      </c>
      <c r="I1652">
        <v>255</v>
      </c>
      <c r="J1652">
        <v>248451</v>
      </c>
      <c r="K1652" s="13">
        <v>43994</v>
      </c>
      <c r="L1652">
        <v>8</v>
      </c>
      <c r="M1652" t="s">
        <v>4026</v>
      </c>
    </row>
    <row r="1653" spans="1:13" x14ac:dyDescent="0.35">
      <c r="A1653" t="s">
        <v>2637</v>
      </c>
      <c r="B1653" t="s">
        <v>4027</v>
      </c>
      <c r="C1653">
        <v>960</v>
      </c>
      <c r="D1653">
        <v>960</v>
      </c>
      <c r="E1653">
        <v>960</v>
      </c>
      <c r="F1653">
        <v>960</v>
      </c>
      <c r="G1653">
        <v>960</v>
      </c>
      <c r="H1653">
        <v>960</v>
      </c>
      <c r="I1653">
        <v>21</v>
      </c>
      <c r="J1653">
        <v>20160</v>
      </c>
      <c r="K1653" s="13">
        <v>43994</v>
      </c>
      <c r="L1653">
        <v>2</v>
      </c>
      <c r="M1653" t="s">
        <v>4028</v>
      </c>
    </row>
    <row r="1654" spans="1:13" x14ac:dyDescent="0.35">
      <c r="A1654" t="s">
        <v>2637</v>
      </c>
      <c r="B1654" t="s">
        <v>4029</v>
      </c>
      <c r="C1654">
        <v>1006</v>
      </c>
      <c r="D1654">
        <v>1006</v>
      </c>
      <c r="E1654">
        <v>1006</v>
      </c>
      <c r="F1654">
        <v>1006</v>
      </c>
      <c r="G1654">
        <v>1006</v>
      </c>
      <c r="H1654">
        <v>1005</v>
      </c>
      <c r="I1654">
        <v>40</v>
      </c>
      <c r="J1654">
        <v>40240</v>
      </c>
      <c r="K1654" s="13">
        <v>43994</v>
      </c>
      <c r="L1654">
        <v>1</v>
      </c>
      <c r="M1654" t="s">
        <v>4030</v>
      </c>
    </row>
    <row r="1655" spans="1:13" x14ac:dyDescent="0.35">
      <c r="A1655" t="s">
        <v>2637</v>
      </c>
      <c r="B1655" t="s">
        <v>4031</v>
      </c>
      <c r="C1655">
        <v>1020</v>
      </c>
      <c r="D1655">
        <v>1029</v>
      </c>
      <c r="E1655">
        <v>1020</v>
      </c>
      <c r="F1655">
        <v>1029</v>
      </c>
      <c r="G1655">
        <v>1029</v>
      </c>
      <c r="H1655">
        <v>971</v>
      </c>
      <c r="I1655">
        <v>35</v>
      </c>
      <c r="J1655">
        <v>35790</v>
      </c>
      <c r="K1655" s="13">
        <v>43994</v>
      </c>
      <c r="L1655">
        <v>2</v>
      </c>
      <c r="M1655" t="s">
        <v>4032</v>
      </c>
    </row>
    <row r="1656" spans="1:13" x14ac:dyDescent="0.35">
      <c r="A1656" t="s">
        <v>2637</v>
      </c>
      <c r="B1656" t="s">
        <v>4033</v>
      </c>
      <c r="C1656">
        <v>945</v>
      </c>
      <c r="D1656">
        <v>990</v>
      </c>
      <c r="E1656">
        <v>945</v>
      </c>
      <c r="F1656">
        <v>990</v>
      </c>
      <c r="G1656">
        <v>990</v>
      </c>
      <c r="H1656">
        <v>942</v>
      </c>
      <c r="I1656">
        <v>32</v>
      </c>
      <c r="J1656">
        <v>30330</v>
      </c>
      <c r="K1656" s="13">
        <v>43994</v>
      </c>
      <c r="L1656">
        <v>3</v>
      </c>
      <c r="M1656" t="s">
        <v>4034</v>
      </c>
    </row>
    <row r="1657" spans="1:13" x14ac:dyDescent="0.35">
      <c r="A1657" t="s">
        <v>2637</v>
      </c>
      <c r="B1657" t="s">
        <v>4035</v>
      </c>
      <c r="C1657">
        <v>1025.21</v>
      </c>
      <c r="D1657">
        <v>1025.21</v>
      </c>
      <c r="E1657">
        <v>1025.21</v>
      </c>
      <c r="F1657">
        <v>1025.21</v>
      </c>
      <c r="G1657">
        <v>1025.21</v>
      </c>
      <c r="H1657">
        <v>1048</v>
      </c>
      <c r="I1657">
        <v>250</v>
      </c>
      <c r="J1657">
        <v>256302.5</v>
      </c>
      <c r="K1657" s="13">
        <v>43994</v>
      </c>
      <c r="L1657">
        <v>1</v>
      </c>
      <c r="M1657" t="s">
        <v>4036</v>
      </c>
    </row>
    <row r="1658" spans="1:13" x14ac:dyDescent="0.35">
      <c r="A1658" t="s">
        <v>2637</v>
      </c>
      <c r="B1658" t="s">
        <v>4037</v>
      </c>
      <c r="C1658">
        <v>980</v>
      </c>
      <c r="D1658">
        <v>980</v>
      </c>
      <c r="E1658">
        <v>980</v>
      </c>
      <c r="F1658">
        <v>980</v>
      </c>
      <c r="G1658">
        <v>980</v>
      </c>
      <c r="H1658">
        <v>986.8</v>
      </c>
      <c r="I1658">
        <v>15</v>
      </c>
      <c r="J1658">
        <v>14700</v>
      </c>
      <c r="K1658" s="13">
        <v>43994</v>
      </c>
      <c r="L1658">
        <v>1</v>
      </c>
      <c r="M1658" t="s">
        <v>4038</v>
      </c>
    </row>
    <row r="1659" spans="1:13" x14ac:dyDescent="0.35">
      <c r="A1659" t="s">
        <v>4039</v>
      </c>
      <c r="B1659" t="s">
        <v>3381</v>
      </c>
      <c r="C1659">
        <v>8.1</v>
      </c>
      <c r="D1659">
        <v>8.5</v>
      </c>
      <c r="E1659">
        <v>8.1</v>
      </c>
      <c r="F1659">
        <v>8.5</v>
      </c>
      <c r="G1659">
        <v>8.5</v>
      </c>
      <c r="H1659">
        <v>8.5</v>
      </c>
      <c r="I1659">
        <v>9000</v>
      </c>
      <c r="J1659">
        <v>74100</v>
      </c>
      <c r="K1659" s="13">
        <v>43994</v>
      </c>
      <c r="L1659">
        <v>3</v>
      </c>
      <c r="M1659" t="s">
        <v>4040</v>
      </c>
    </row>
    <row r="1660" spans="1:13" x14ac:dyDescent="0.35">
      <c r="A1660" t="s">
        <v>2639</v>
      </c>
      <c r="B1660" t="s">
        <v>18</v>
      </c>
      <c r="C1660">
        <v>341.25</v>
      </c>
      <c r="D1660">
        <v>359.9</v>
      </c>
      <c r="E1660">
        <v>340.7</v>
      </c>
      <c r="F1660">
        <v>356.65</v>
      </c>
      <c r="G1660">
        <v>359</v>
      </c>
      <c r="H1660">
        <v>358.55</v>
      </c>
      <c r="I1660">
        <v>11210</v>
      </c>
      <c r="J1660">
        <v>3918400.2</v>
      </c>
      <c r="K1660" s="13">
        <v>43994</v>
      </c>
      <c r="L1660">
        <v>984</v>
      </c>
      <c r="M1660" t="s">
        <v>2640</v>
      </c>
    </row>
    <row r="1661" spans="1:13" x14ac:dyDescent="0.35">
      <c r="A1661" t="s">
        <v>2641</v>
      </c>
      <c r="B1661" t="s">
        <v>18</v>
      </c>
      <c r="C1661">
        <v>0.35</v>
      </c>
      <c r="D1661">
        <v>0.4</v>
      </c>
      <c r="E1661">
        <v>0.35</v>
      </c>
      <c r="F1661">
        <v>0.4</v>
      </c>
      <c r="G1661">
        <v>0.4</v>
      </c>
      <c r="H1661">
        <v>0.35</v>
      </c>
      <c r="I1661">
        <v>306328</v>
      </c>
      <c r="J1661">
        <v>122501.8</v>
      </c>
      <c r="K1661" s="13">
        <v>43994</v>
      </c>
      <c r="L1661">
        <v>103</v>
      </c>
      <c r="M1661" t="s">
        <v>2642</v>
      </c>
    </row>
    <row r="1662" spans="1:13" x14ac:dyDescent="0.35">
      <c r="A1662" t="s">
        <v>4041</v>
      </c>
      <c r="B1662" t="s">
        <v>4042</v>
      </c>
      <c r="C1662">
        <v>38.549999999999997</v>
      </c>
      <c r="D1662">
        <v>38.549999999999997</v>
      </c>
      <c r="E1662">
        <v>34.75</v>
      </c>
      <c r="F1662">
        <v>36.950000000000003</v>
      </c>
      <c r="G1662">
        <v>37</v>
      </c>
      <c r="H1662">
        <v>38.6</v>
      </c>
      <c r="I1662">
        <v>12311</v>
      </c>
      <c r="J1662">
        <v>445711.95</v>
      </c>
      <c r="K1662" s="13">
        <v>43994</v>
      </c>
      <c r="L1662">
        <v>174</v>
      </c>
      <c r="M1662" t="s">
        <v>4043</v>
      </c>
    </row>
    <row r="1663" spans="1:13" x14ac:dyDescent="0.35">
      <c r="A1663" t="s">
        <v>2643</v>
      </c>
      <c r="B1663" t="s">
        <v>18</v>
      </c>
      <c r="C1663">
        <v>382.5</v>
      </c>
      <c r="D1663">
        <v>397.8</v>
      </c>
      <c r="E1663">
        <v>382.5</v>
      </c>
      <c r="F1663">
        <v>395.8</v>
      </c>
      <c r="G1663">
        <v>396.3</v>
      </c>
      <c r="H1663">
        <v>399.25</v>
      </c>
      <c r="I1663">
        <v>403103</v>
      </c>
      <c r="J1663">
        <v>158711384.94999999</v>
      </c>
      <c r="K1663" s="13">
        <v>43994</v>
      </c>
      <c r="L1663">
        <v>9083</v>
      </c>
      <c r="M1663" t="s">
        <v>2644</v>
      </c>
    </row>
    <row r="1664" spans="1:13" x14ac:dyDescent="0.35">
      <c r="A1664" t="s">
        <v>2645</v>
      </c>
      <c r="B1664" t="s">
        <v>18</v>
      </c>
      <c r="C1664">
        <v>81</v>
      </c>
      <c r="D1664">
        <v>89</v>
      </c>
      <c r="E1664">
        <v>78.75</v>
      </c>
      <c r="F1664">
        <v>87.9</v>
      </c>
      <c r="G1664">
        <v>87.5</v>
      </c>
      <c r="H1664">
        <v>84.9</v>
      </c>
      <c r="I1664">
        <v>238211</v>
      </c>
      <c r="J1664">
        <v>20126662.300000001</v>
      </c>
      <c r="K1664" s="13">
        <v>43994</v>
      </c>
      <c r="L1664">
        <v>3997</v>
      </c>
      <c r="M1664" t="s">
        <v>2646</v>
      </c>
    </row>
    <row r="1665" spans="1:13" x14ac:dyDescent="0.35">
      <c r="A1665" t="s">
        <v>2647</v>
      </c>
      <c r="B1665" t="s">
        <v>18</v>
      </c>
      <c r="C1665">
        <v>95</v>
      </c>
      <c r="D1665">
        <v>102.7</v>
      </c>
      <c r="E1665">
        <v>91.8</v>
      </c>
      <c r="F1665">
        <v>100.05</v>
      </c>
      <c r="G1665">
        <v>99.65</v>
      </c>
      <c r="H1665">
        <v>98.7</v>
      </c>
      <c r="I1665">
        <v>271483</v>
      </c>
      <c r="J1665">
        <v>26559520.25</v>
      </c>
      <c r="K1665" s="13">
        <v>43994</v>
      </c>
      <c r="L1665">
        <v>4323</v>
      </c>
      <c r="M1665" t="s">
        <v>2648</v>
      </c>
    </row>
    <row r="1666" spans="1:13" x14ac:dyDescent="0.35">
      <c r="A1666" t="s">
        <v>2649</v>
      </c>
      <c r="B1666" t="s">
        <v>18</v>
      </c>
      <c r="C1666">
        <v>47.85</v>
      </c>
      <c r="D1666">
        <v>48</v>
      </c>
      <c r="E1666">
        <v>46</v>
      </c>
      <c r="F1666">
        <v>47</v>
      </c>
      <c r="G1666">
        <v>47.15</v>
      </c>
      <c r="H1666">
        <v>48.4</v>
      </c>
      <c r="I1666">
        <v>44636</v>
      </c>
      <c r="J1666">
        <v>2081440.65</v>
      </c>
      <c r="K1666" s="13">
        <v>43994</v>
      </c>
      <c r="L1666">
        <v>474</v>
      </c>
      <c r="M1666" t="s">
        <v>2650</v>
      </c>
    </row>
    <row r="1667" spans="1:13" x14ac:dyDescent="0.35">
      <c r="A1667" t="s">
        <v>2651</v>
      </c>
      <c r="B1667" t="s">
        <v>18</v>
      </c>
      <c r="C1667">
        <v>25.05</v>
      </c>
      <c r="D1667">
        <v>26</v>
      </c>
      <c r="E1667">
        <v>23.3</v>
      </c>
      <c r="F1667">
        <v>26</v>
      </c>
      <c r="G1667">
        <v>26</v>
      </c>
      <c r="H1667">
        <v>24.7</v>
      </c>
      <c r="I1667">
        <v>9208</v>
      </c>
      <c r="J1667">
        <v>229758.85</v>
      </c>
      <c r="K1667" s="13">
        <v>43994</v>
      </c>
      <c r="L1667">
        <v>45</v>
      </c>
      <c r="M1667" t="s">
        <v>2652</v>
      </c>
    </row>
    <row r="1668" spans="1:13" x14ac:dyDescent="0.35">
      <c r="A1668" t="s">
        <v>2653</v>
      </c>
      <c r="B1668" t="s">
        <v>18</v>
      </c>
      <c r="C1668">
        <v>18.2</v>
      </c>
      <c r="D1668">
        <v>20</v>
      </c>
      <c r="E1668">
        <v>18.100000000000001</v>
      </c>
      <c r="F1668">
        <v>19.399999999999999</v>
      </c>
      <c r="G1668">
        <v>19.95</v>
      </c>
      <c r="H1668">
        <v>19.05</v>
      </c>
      <c r="I1668">
        <v>40761</v>
      </c>
      <c r="J1668">
        <v>758023.5</v>
      </c>
      <c r="K1668" s="13">
        <v>43994</v>
      </c>
      <c r="L1668">
        <v>139</v>
      </c>
      <c r="M1668" t="s">
        <v>2654</v>
      </c>
    </row>
    <row r="1669" spans="1:13" x14ac:dyDescent="0.35">
      <c r="A1669" t="s">
        <v>2655</v>
      </c>
      <c r="B1669" t="s">
        <v>18</v>
      </c>
      <c r="C1669">
        <v>49</v>
      </c>
      <c r="D1669">
        <v>51.9</v>
      </c>
      <c r="E1669">
        <v>48.45</v>
      </c>
      <c r="F1669">
        <v>50.05</v>
      </c>
      <c r="G1669">
        <v>50.55</v>
      </c>
      <c r="H1669">
        <v>51</v>
      </c>
      <c r="I1669">
        <v>26472</v>
      </c>
      <c r="J1669">
        <v>1325664.25</v>
      </c>
      <c r="K1669" s="13">
        <v>43994</v>
      </c>
      <c r="L1669">
        <v>847</v>
      </c>
      <c r="M1669" t="s">
        <v>2656</v>
      </c>
    </row>
    <row r="1670" spans="1:13" x14ac:dyDescent="0.35">
      <c r="A1670" t="s">
        <v>2657</v>
      </c>
      <c r="B1670" t="s">
        <v>18</v>
      </c>
      <c r="C1670">
        <v>141.55000000000001</v>
      </c>
      <c r="D1670">
        <v>151</v>
      </c>
      <c r="E1670">
        <v>141.55000000000001</v>
      </c>
      <c r="F1670">
        <v>148.75</v>
      </c>
      <c r="G1670">
        <v>147.15</v>
      </c>
      <c r="H1670">
        <v>149.1</v>
      </c>
      <c r="I1670">
        <v>13498</v>
      </c>
      <c r="J1670">
        <v>1986616.35</v>
      </c>
      <c r="K1670" s="13">
        <v>43994</v>
      </c>
      <c r="L1670">
        <v>457</v>
      </c>
      <c r="M1670" t="s">
        <v>2658</v>
      </c>
    </row>
    <row r="1671" spans="1:13" x14ac:dyDescent="0.35">
      <c r="A1671" t="s">
        <v>4044</v>
      </c>
      <c r="B1671" t="s">
        <v>3391</v>
      </c>
      <c r="C1671">
        <v>4.5</v>
      </c>
      <c r="D1671">
        <v>4.5</v>
      </c>
      <c r="E1671">
        <v>4.5</v>
      </c>
      <c r="F1671">
        <v>4.5</v>
      </c>
      <c r="G1671">
        <v>4.5</v>
      </c>
      <c r="H1671">
        <v>4.7</v>
      </c>
      <c r="I1671">
        <v>102</v>
      </c>
      <c r="J1671">
        <v>459</v>
      </c>
      <c r="K1671" s="13">
        <v>43994</v>
      </c>
      <c r="L1671">
        <v>2</v>
      </c>
      <c r="M1671" t="s">
        <v>4045</v>
      </c>
    </row>
    <row r="1672" spans="1:13" x14ac:dyDescent="0.35">
      <c r="A1672" t="s">
        <v>2659</v>
      </c>
      <c r="B1672" t="s">
        <v>18</v>
      </c>
      <c r="C1672">
        <v>100</v>
      </c>
      <c r="D1672">
        <v>104.25</v>
      </c>
      <c r="E1672">
        <v>98.2</v>
      </c>
      <c r="F1672">
        <v>103.35</v>
      </c>
      <c r="G1672">
        <v>103.75</v>
      </c>
      <c r="H1672">
        <v>105.4</v>
      </c>
      <c r="I1672">
        <v>2087521</v>
      </c>
      <c r="J1672">
        <v>213026754.84999999</v>
      </c>
      <c r="K1672" s="13">
        <v>43994</v>
      </c>
      <c r="L1672">
        <v>18888</v>
      </c>
      <c r="M1672" t="s">
        <v>2660</v>
      </c>
    </row>
    <row r="1673" spans="1:13" x14ac:dyDescent="0.35">
      <c r="A1673" t="s">
        <v>4046</v>
      </c>
      <c r="B1673" t="s">
        <v>3391</v>
      </c>
      <c r="C1673">
        <v>7.2</v>
      </c>
      <c r="D1673">
        <v>7.9</v>
      </c>
      <c r="E1673">
        <v>7.2</v>
      </c>
      <c r="F1673">
        <v>7.8</v>
      </c>
      <c r="G1673">
        <v>7.85</v>
      </c>
      <c r="H1673">
        <v>7.55</v>
      </c>
      <c r="I1673">
        <v>1889341</v>
      </c>
      <c r="J1673">
        <v>14405456.75</v>
      </c>
      <c r="K1673" s="13">
        <v>43994</v>
      </c>
      <c r="L1673">
        <v>1295</v>
      </c>
      <c r="M1673" t="s">
        <v>4047</v>
      </c>
    </row>
    <row r="1674" spans="1:13" x14ac:dyDescent="0.35">
      <c r="A1674" t="s">
        <v>2661</v>
      </c>
      <c r="B1674" t="s">
        <v>18</v>
      </c>
      <c r="C1674">
        <v>167.65</v>
      </c>
      <c r="D1674">
        <v>174</v>
      </c>
      <c r="E1674">
        <v>165.3</v>
      </c>
      <c r="F1674">
        <v>173.25</v>
      </c>
      <c r="G1674">
        <v>173</v>
      </c>
      <c r="H1674">
        <v>171.35</v>
      </c>
      <c r="I1674">
        <v>60720</v>
      </c>
      <c r="J1674">
        <v>10320260.5</v>
      </c>
      <c r="K1674" s="13">
        <v>43994</v>
      </c>
      <c r="L1674">
        <v>1624</v>
      </c>
      <c r="M1674" t="s">
        <v>2662</v>
      </c>
    </row>
    <row r="1675" spans="1:13" x14ac:dyDescent="0.35">
      <c r="A1675" t="s">
        <v>2663</v>
      </c>
      <c r="B1675" t="s">
        <v>18</v>
      </c>
      <c r="C1675">
        <v>375.1</v>
      </c>
      <c r="D1675">
        <v>388.9</v>
      </c>
      <c r="E1675">
        <v>375.1</v>
      </c>
      <c r="F1675">
        <v>384.45</v>
      </c>
      <c r="G1675">
        <v>386</v>
      </c>
      <c r="H1675">
        <v>391.05</v>
      </c>
      <c r="I1675">
        <v>110479</v>
      </c>
      <c r="J1675">
        <v>42308880.350000001</v>
      </c>
      <c r="K1675" s="13">
        <v>43994</v>
      </c>
      <c r="L1675">
        <v>3955</v>
      </c>
      <c r="M1675" t="s">
        <v>2664</v>
      </c>
    </row>
    <row r="1676" spans="1:13" x14ac:dyDescent="0.35">
      <c r="A1676" t="s">
        <v>2665</v>
      </c>
      <c r="B1676" t="s">
        <v>18</v>
      </c>
      <c r="C1676">
        <v>1.75</v>
      </c>
      <c r="D1676">
        <v>1.75</v>
      </c>
      <c r="E1676">
        <v>1.7</v>
      </c>
      <c r="F1676">
        <v>1.7</v>
      </c>
      <c r="G1676">
        <v>1.7</v>
      </c>
      <c r="H1676">
        <v>1.75</v>
      </c>
      <c r="I1676">
        <v>251768</v>
      </c>
      <c r="J1676">
        <v>429352.85</v>
      </c>
      <c r="K1676" s="13">
        <v>43994</v>
      </c>
      <c r="L1676">
        <v>145</v>
      </c>
      <c r="M1676" t="s">
        <v>2666</v>
      </c>
    </row>
    <row r="1677" spans="1:13" x14ac:dyDescent="0.35">
      <c r="A1677" t="s">
        <v>2667</v>
      </c>
      <c r="B1677" t="s">
        <v>18</v>
      </c>
      <c r="C1677">
        <v>272.8</v>
      </c>
      <c r="D1677">
        <v>288.75</v>
      </c>
      <c r="E1677">
        <v>270.25</v>
      </c>
      <c r="F1677">
        <v>280.95</v>
      </c>
      <c r="G1677">
        <v>282.7</v>
      </c>
      <c r="H1677">
        <v>280.55</v>
      </c>
      <c r="I1677">
        <v>591660</v>
      </c>
      <c r="J1677">
        <v>167125026.94999999</v>
      </c>
      <c r="K1677" s="13">
        <v>43994</v>
      </c>
      <c r="L1677">
        <v>11357</v>
      </c>
      <c r="M1677" t="s">
        <v>2668</v>
      </c>
    </row>
    <row r="1678" spans="1:13" x14ac:dyDescent="0.35">
      <c r="A1678" t="s">
        <v>4048</v>
      </c>
      <c r="B1678" t="s">
        <v>3391</v>
      </c>
      <c r="C1678">
        <v>11.5</v>
      </c>
      <c r="D1678">
        <v>12.1</v>
      </c>
      <c r="E1678">
        <v>11.5</v>
      </c>
      <c r="F1678">
        <v>12</v>
      </c>
      <c r="G1678">
        <v>12</v>
      </c>
      <c r="H1678">
        <v>12.1</v>
      </c>
      <c r="I1678">
        <v>1824</v>
      </c>
      <c r="J1678">
        <v>21484</v>
      </c>
      <c r="K1678" s="13">
        <v>43994</v>
      </c>
      <c r="L1678">
        <v>24</v>
      </c>
      <c r="M1678" t="s">
        <v>4049</v>
      </c>
    </row>
    <row r="1679" spans="1:13" x14ac:dyDescent="0.35">
      <c r="A1679" t="s">
        <v>2669</v>
      </c>
      <c r="B1679" t="s">
        <v>18</v>
      </c>
      <c r="C1679">
        <v>311.14999999999998</v>
      </c>
      <c r="D1679">
        <v>329</v>
      </c>
      <c r="E1679">
        <v>311.14999999999998</v>
      </c>
      <c r="F1679">
        <v>320.39999999999998</v>
      </c>
      <c r="G1679">
        <v>320</v>
      </c>
      <c r="H1679">
        <v>322.7</v>
      </c>
      <c r="I1679">
        <v>3413</v>
      </c>
      <c r="J1679">
        <v>1091896.55</v>
      </c>
      <c r="K1679" s="13">
        <v>43994</v>
      </c>
      <c r="L1679">
        <v>191</v>
      </c>
      <c r="M1679" t="s">
        <v>2670</v>
      </c>
    </row>
    <row r="1680" spans="1:13" x14ac:dyDescent="0.35">
      <c r="A1680" t="s">
        <v>2671</v>
      </c>
      <c r="B1680" t="s">
        <v>18</v>
      </c>
      <c r="C1680">
        <v>1611</v>
      </c>
      <c r="D1680">
        <v>1676</v>
      </c>
      <c r="E1680">
        <v>1572.6</v>
      </c>
      <c r="F1680">
        <v>1666.45</v>
      </c>
      <c r="G1680">
        <v>1670</v>
      </c>
      <c r="H1680">
        <v>1709.75</v>
      </c>
      <c r="I1680">
        <v>10793</v>
      </c>
      <c r="J1680">
        <v>17743506.199999999</v>
      </c>
      <c r="K1680" s="13">
        <v>43994</v>
      </c>
      <c r="L1680">
        <v>1482</v>
      </c>
      <c r="M1680" t="s">
        <v>2672</v>
      </c>
    </row>
    <row r="1681" spans="1:13" x14ac:dyDescent="0.35">
      <c r="A1681" t="s">
        <v>2673</v>
      </c>
      <c r="B1681" t="s">
        <v>18</v>
      </c>
      <c r="C1681">
        <v>1.35</v>
      </c>
      <c r="D1681">
        <v>1.4</v>
      </c>
      <c r="E1681">
        <v>1.35</v>
      </c>
      <c r="F1681">
        <v>1.35</v>
      </c>
      <c r="G1681">
        <v>1.4</v>
      </c>
      <c r="H1681">
        <v>1.4</v>
      </c>
      <c r="I1681">
        <v>199822</v>
      </c>
      <c r="J1681">
        <v>269898.55</v>
      </c>
      <c r="K1681" s="13">
        <v>43994</v>
      </c>
      <c r="L1681">
        <v>112</v>
      </c>
      <c r="M1681" t="s">
        <v>2674</v>
      </c>
    </row>
    <row r="1682" spans="1:13" x14ac:dyDescent="0.35">
      <c r="A1682" t="s">
        <v>2675</v>
      </c>
      <c r="B1682" t="s">
        <v>18</v>
      </c>
      <c r="C1682">
        <v>1199.95</v>
      </c>
      <c r="D1682">
        <v>1375</v>
      </c>
      <c r="E1682">
        <v>1190.3</v>
      </c>
      <c r="F1682">
        <v>1348.3</v>
      </c>
      <c r="G1682">
        <v>1327.35</v>
      </c>
      <c r="H1682">
        <v>1206.55</v>
      </c>
      <c r="I1682">
        <v>174859</v>
      </c>
      <c r="J1682">
        <v>231274759.94999999</v>
      </c>
      <c r="K1682" s="13">
        <v>43994</v>
      </c>
      <c r="L1682">
        <v>8196</v>
      </c>
      <c r="M1682" t="s">
        <v>2676</v>
      </c>
    </row>
    <row r="1683" spans="1:13" x14ac:dyDescent="0.35">
      <c r="A1683" t="s">
        <v>2677</v>
      </c>
      <c r="B1683" t="s">
        <v>18</v>
      </c>
      <c r="C1683">
        <v>48.45</v>
      </c>
      <c r="D1683">
        <v>49.15</v>
      </c>
      <c r="E1683">
        <v>47.2</v>
      </c>
      <c r="F1683">
        <v>48.75</v>
      </c>
      <c r="G1683">
        <v>49</v>
      </c>
      <c r="H1683">
        <v>49.15</v>
      </c>
      <c r="I1683">
        <v>43851</v>
      </c>
      <c r="J1683">
        <v>2109955.9</v>
      </c>
      <c r="K1683" s="13">
        <v>43994</v>
      </c>
      <c r="L1683">
        <v>419</v>
      </c>
      <c r="M1683" t="s">
        <v>2678</v>
      </c>
    </row>
    <row r="1684" spans="1:13" x14ac:dyDescent="0.35">
      <c r="A1684" t="s">
        <v>2679</v>
      </c>
      <c r="B1684" t="s">
        <v>18</v>
      </c>
      <c r="C1684">
        <v>214</v>
      </c>
      <c r="D1684">
        <v>230.95</v>
      </c>
      <c r="E1684">
        <v>205</v>
      </c>
      <c r="F1684">
        <v>226.25</v>
      </c>
      <c r="G1684">
        <v>230.95</v>
      </c>
      <c r="H1684">
        <v>227.65</v>
      </c>
      <c r="I1684">
        <v>9838</v>
      </c>
      <c r="J1684">
        <v>2116812.85</v>
      </c>
      <c r="K1684" s="13">
        <v>43994</v>
      </c>
      <c r="L1684">
        <v>413</v>
      </c>
      <c r="M1684" t="s">
        <v>2680</v>
      </c>
    </row>
    <row r="1685" spans="1:13" x14ac:dyDescent="0.35">
      <c r="A1685" t="s">
        <v>2681</v>
      </c>
      <c r="B1685" t="s">
        <v>18</v>
      </c>
      <c r="C1685">
        <v>310.10000000000002</v>
      </c>
      <c r="D1685">
        <v>314</v>
      </c>
      <c r="E1685">
        <v>300</v>
      </c>
      <c r="F1685">
        <v>310.7</v>
      </c>
      <c r="G1685">
        <v>311.85000000000002</v>
      </c>
      <c r="H1685">
        <v>317.7</v>
      </c>
      <c r="I1685">
        <v>88130</v>
      </c>
      <c r="J1685">
        <v>27177703.75</v>
      </c>
      <c r="K1685" s="13">
        <v>43994</v>
      </c>
      <c r="L1685">
        <v>3161</v>
      </c>
      <c r="M1685" t="s">
        <v>2682</v>
      </c>
    </row>
    <row r="1686" spans="1:13" x14ac:dyDescent="0.35">
      <c r="A1686" t="s">
        <v>2683</v>
      </c>
      <c r="B1686" t="s">
        <v>18</v>
      </c>
      <c r="C1686">
        <v>33.549999999999997</v>
      </c>
      <c r="D1686">
        <v>37.4</v>
      </c>
      <c r="E1686">
        <v>33.549999999999997</v>
      </c>
      <c r="F1686">
        <v>36.65</v>
      </c>
      <c r="G1686">
        <v>36.25</v>
      </c>
      <c r="H1686">
        <v>35.65</v>
      </c>
      <c r="I1686">
        <v>196630</v>
      </c>
      <c r="J1686">
        <v>7031704.4500000002</v>
      </c>
      <c r="K1686" s="13">
        <v>43994</v>
      </c>
      <c r="L1686">
        <v>1083</v>
      </c>
      <c r="M1686" t="s">
        <v>2684</v>
      </c>
    </row>
    <row r="1687" spans="1:13" x14ac:dyDescent="0.35">
      <c r="A1687" t="s">
        <v>57</v>
      </c>
      <c r="B1687" t="s">
        <v>18</v>
      </c>
      <c r="C1687">
        <v>455</v>
      </c>
      <c r="D1687">
        <v>481.9</v>
      </c>
      <c r="E1687">
        <v>455</v>
      </c>
      <c r="F1687">
        <v>480.1</v>
      </c>
      <c r="G1687">
        <v>478.8</v>
      </c>
      <c r="H1687">
        <v>473.65</v>
      </c>
      <c r="I1687">
        <v>11499860</v>
      </c>
      <c r="J1687">
        <v>5471942972</v>
      </c>
      <c r="K1687" s="13">
        <v>43994</v>
      </c>
      <c r="L1687">
        <v>145048</v>
      </c>
      <c r="M1687" t="s">
        <v>2685</v>
      </c>
    </row>
    <row r="1688" spans="1:13" x14ac:dyDescent="0.35">
      <c r="A1688" t="s">
        <v>2686</v>
      </c>
      <c r="B1688" t="s">
        <v>18</v>
      </c>
      <c r="C1688">
        <v>160.05000000000001</v>
      </c>
      <c r="D1688">
        <v>174</v>
      </c>
      <c r="E1688">
        <v>160.05000000000001</v>
      </c>
      <c r="F1688">
        <v>172.15</v>
      </c>
      <c r="G1688">
        <v>170</v>
      </c>
      <c r="H1688">
        <v>169.4</v>
      </c>
      <c r="I1688">
        <v>323713</v>
      </c>
      <c r="J1688">
        <v>53764414.549999997</v>
      </c>
      <c r="K1688" s="13">
        <v>43994</v>
      </c>
      <c r="L1688">
        <v>7235</v>
      </c>
      <c r="M1688" t="s">
        <v>2687</v>
      </c>
    </row>
    <row r="1689" spans="1:13" x14ac:dyDescent="0.35">
      <c r="A1689" t="s">
        <v>2688</v>
      </c>
      <c r="B1689" t="s">
        <v>18</v>
      </c>
      <c r="C1689">
        <v>374.95</v>
      </c>
      <c r="D1689">
        <v>385</v>
      </c>
      <c r="E1689">
        <v>372.1</v>
      </c>
      <c r="F1689">
        <v>380.8</v>
      </c>
      <c r="G1689">
        <v>382</v>
      </c>
      <c r="H1689">
        <v>384.15</v>
      </c>
      <c r="I1689">
        <v>3913676</v>
      </c>
      <c r="J1689">
        <v>1476202380.3</v>
      </c>
      <c r="K1689" s="13">
        <v>43994</v>
      </c>
      <c r="L1689">
        <v>48309</v>
      </c>
      <c r="M1689" t="s">
        <v>2689</v>
      </c>
    </row>
    <row r="1690" spans="1:13" x14ac:dyDescent="0.35">
      <c r="A1690" t="s">
        <v>2690</v>
      </c>
      <c r="B1690" t="s">
        <v>18</v>
      </c>
      <c r="C1690">
        <v>70</v>
      </c>
      <c r="D1690">
        <v>75.650000000000006</v>
      </c>
      <c r="E1690">
        <v>70</v>
      </c>
      <c r="F1690">
        <v>74.95</v>
      </c>
      <c r="G1690">
        <v>74.400000000000006</v>
      </c>
      <c r="H1690">
        <v>73.849999999999994</v>
      </c>
      <c r="I1690">
        <v>15350</v>
      </c>
      <c r="J1690">
        <v>1117679.6000000001</v>
      </c>
      <c r="K1690" s="13">
        <v>43994</v>
      </c>
      <c r="L1690">
        <v>260</v>
      </c>
      <c r="M1690" t="s">
        <v>2691</v>
      </c>
    </row>
    <row r="1691" spans="1:13" x14ac:dyDescent="0.35">
      <c r="A1691" t="s">
        <v>2692</v>
      </c>
      <c r="B1691" t="s">
        <v>18</v>
      </c>
      <c r="C1691">
        <v>4.3499999999999996</v>
      </c>
      <c r="D1691">
        <v>4.6500000000000004</v>
      </c>
      <c r="E1691">
        <v>4.3499999999999996</v>
      </c>
      <c r="F1691">
        <v>4.5</v>
      </c>
      <c r="G1691">
        <v>4.5</v>
      </c>
      <c r="H1691">
        <v>4.55</v>
      </c>
      <c r="I1691">
        <v>25431</v>
      </c>
      <c r="J1691">
        <v>112063.65</v>
      </c>
      <c r="K1691" s="13">
        <v>43994</v>
      </c>
      <c r="L1691">
        <v>60</v>
      </c>
      <c r="M1691" t="s">
        <v>2693</v>
      </c>
    </row>
    <row r="1692" spans="1:13" x14ac:dyDescent="0.35">
      <c r="A1692" t="s">
        <v>2694</v>
      </c>
      <c r="B1692" t="s">
        <v>18</v>
      </c>
      <c r="C1692">
        <v>161</v>
      </c>
      <c r="D1692">
        <v>163.95</v>
      </c>
      <c r="E1692">
        <v>157.80000000000001</v>
      </c>
      <c r="F1692">
        <v>162</v>
      </c>
      <c r="G1692">
        <v>162.94999999999999</v>
      </c>
      <c r="H1692">
        <v>165.95</v>
      </c>
      <c r="I1692">
        <v>18954</v>
      </c>
      <c r="J1692">
        <v>3051928.3</v>
      </c>
      <c r="K1692" s="13">
        <v>43994</v>
      </c>
      <c r="L1692">
        <v>528</v>
      </c>
      <c r="M1692" t="s">
        <v>2695</v>
      </c>
    </row>
    <row r="1693" spans="1:13" x14ac:dyDescent="0.35">
      <c r="A1693" t="s">
        <v>2696</v>
      </c>
      <c r="B1693" t="s">
        <v>18</v>
      </c>
      <c r="C1693">
        <v>120</v>
      </c>
      <c r="D1693">
        <v>126.8</v>
      </c>
      <c r="E1693">
        <v>120</v>
      </c>
      <c r="F1693">
        <v>124.8</v>
      </c>
      <c r="G1693">
        <v>124.3</v>
      </c>
      <c r="H1693">
        <v>126.7</v>
      </c>
      <c r="I1693">
        <v>253700</v>
      </c>
      <c r="J1693">
        <v>31598199.399999999</v>
      </c>
      <c r="K1693" s="13">
        <v>43994</v>
      </c>
      <c r="L1693">
        <v>4816</v>
      </c>
      <c r="M1693" t="s">
        <v>2697</v>
      </c>
    </row>
    <row r="1694" spans="1:13" x14ac:dyDescent="0.35">
      <c r="A1694" t="s">
        <v>2698</v>
      </c>
      <c r="B1694" t="s">
        <v>18</v>
      </c>
      <c r="C1694">
        <v>1019</v>
      </c>
      <c r="D1694">
        <v>1085</v>
      </c>
      <c r="E1694">
        <v>1012.35</v>
      </c>
      <c r="F1694">
        <v>1077.2</v>
      </c>
      <c r="G1694">
        <v>1085</v>
      </c>
      <c r="H1694">
        <v>1078</v>
      </c>
      <c r="I1694">
        <v>20172</v>
      </c>
      <c r="J1694">
        <v>21507708.850000001</v>
      </c>
      <c r="K1694" s="13">
        <v>43994</v>
      </c>
      <c r="L1694">
        <v>4869</v>
      </c>
      <c r="M1694" t="s">
        <v>2699</v>
      </c>
    </row>
    <row r="1695" spans="1:13" x14ac:dyDescent="0.35">
      <c r="A1695" t="s">
        <v>4050</v>
      </c>
      <c r="B1695" t="s">
        <v>3414</v>
      </c>
      <c r="C1695">
        <v>8.6</v>
      </c>
      <c r="D1695">
        <v>8.6</v>
      </c>
      <c r="E1695">
        <v>8.1</v>
      </c>
      <c r="F1695">
        <v>8.6</v>
      </c>
      <c r="G1695">
        <v>8.6</v>
      </c>
      <c r="H1695">
        <v>8.1999999999999993</v>
      </c>
      <c r="I1695">
        <v>18730</v>
      </c>
      <c r="J1695">
        <v>160723</v>
      </c>
      <c r="K1695" s="13">
        <v>43994</v>
      </c>
      <c r="L1695">
        <v>54</v>
      </c>
      <c r="M1695" t="s">
        <v>4051</v>
      </c>
    </row>
    <row r="1696" spans="1:13" x14ac:dyDescent="0.35">
      <c r="A1696" t="s">
        <v>2700</v>
      </c>
      <c r="B1696" t="s">
        <v>18</v>
      </c>
      <c r="C1696">
        <v>8.4</v>
      </c>
      <c r="D1696">
        <v>9.1</v>
      </c>
      <c r="E1696">
        <v>7.65</v>
      </c>
      <c r="F1696">
        <v>9.0500000000000007</v>
      </c>
      <c r="G1696">
        <v>9.0500000000000007</v>
      </c>
      <c r="H1696">
        <v>8.5</v>
      </c>
      <c r="I1696">
        <v>188942</v>
      </c>
      <c r="J1696">
        <v>1595947.35</v>
      </c>
      <c r="K1696" s="13">
        <v>43994</v>
      </c>
      <c r="L1696">
        <v>411</v>
      </c>
      <c r="M1696" t="s">
        <v>2701</v>
      </c>
    </row>
    <row r="1697" spans="1:13" x14ac:dyDescent="0.35">
      <c r="A1697" t="s">
        <v>2702</v>
      </c>
      <c r="B1697" t="s">
        <v>18</v>
      </c>
      <c r="C1697">
        <v>3.55</v>
      </c>
      <c r="D1697">
        <v>3.75</v>
      </c>
      <c r="E1697">
        <v>3.55</v>
      </c>
      <c r="F1697">
        <v>3.75</v>
      </c>
      <c r="G1697">
        <v>3.6</v>
      </c>
      <c r="H1697">
        <v>3.8</v>
      </c>
      <c r="I1697">
        <v>35159</v>
      </c>
      <c r="J1697">
        <v>130233.15</v>
      </c>
      <c r="K1697" s="13">
        <v>43994</v>
      </c>
      <c r="L1697">
        <v>41</v>
      </c>
      <c r="M1697" t="s">
        <v>2703</v>
      </c>
    </row>
    <row r="1698" spans="1:13" x14ac:dyDescent="0.35">
      <c r="A1698" t="s">
        <v>4052</v>
      </c>
      <c r="B1698" t="s">
        <v>3381</v>
      </c>
      <c r="C1698">
        <v>18.5</v>
      </c>
      <c r="D1698">
        <v>21.9</v>
      </c>
      <c r="E1698">
        <v>18.5</v>
      </c>
      <c r="F1698">
        <v>21.9</v>
      </c>
      <c r="G1698">
        <v>21.9</v>
      </c>
      <c r="H1698">
        <v>19.95</v>
      </c>
      <c r="I1698">
        <v>8000</v>
      </c>
      <c r="J1698">
        <v>161600</v>
      </c>
      <c r="K1698" s="13">
        <v>43994</v>
      </c>
      <c r="L1698">
        <v>4</v>
      </c>
      <c r="M1698" t="s">
        <v>4053</v>
      </c>
    </row>
    <row r="1699" spans="1:13" x14ac:dyDescent="0.35">
      <c r="A1699" t="s">
        <v>4054</v>
      </c>
      <c r="B1699" t="s">
        <v>3391</v>
      </c>
      <c r="C1699">
        <v>17.350000000000001</v>
      </c>
      <c r="D1699">
        <v>17.95</v>
      </c>
      <c r="E1699">
        <v>16.600000000000001</v>
      </c>
      <c r="F1699">
        <v>17.8</v>
      </c>
      <c r="G1699">
        <v>17.95</v>
      </c>
      <c r="H1699">
        <v>17.45</v>
      </c>
      <c r="I1699">
        <v>8067</v>
      </c>
      <c r="J1699">
        <v>140242.65</v>
      </c>
      <c r="K1699" s="13">
        <v>43994</v>
      </c>
      <c r="L1699">
        <v>42</v>
      </c>
      <c r="M1699" t="s">
        <v>4055</v>
      </c>
    </row>
    <row r="1700" spans="1:13" x14ac:dyDescent="0.35">
      <c r="A1700" t="s">
        <v>2704</v>
      </c>
      <c r="B1700" t="s">
        <v>18</v>
      </c>
      <c r="C1700">
        <v>97.7</v>
      </c>
      <c r="D1700">
        <v>99.9</v>
      </c>
      <c r="E1700">
        <v>89.7</v>
      </c>
      <c r="F1700">
        <v>98.3</v>
      </c>
      <c r="G1700">
        <v>97.35</v>
      </c>
      <c r="H1700">
        <v>99.65</v>
      </c>
      <c r="I1700">
        <v>51698</v>
      </c>
      <c r="J1700">
        <v>4946323.45</v>
      </c>
      <c r="K1700" s="13">
        <v>43994</v>
      </c>
      <c r="L1700">
        <v>1311</v>
      </c>
      <c r="M1700" t="s">
        <v>2705</v>
      </c>
    </row>
    <row r="1701" spans="1:13" x14ac:dyDescent="0.35">
      <c r="A1701" t="s">
        <v>2706</v>
      </c>
      <c r="B1701" t="s">
        <v>18</v>
      </c>
      <c r="C1701">
        <v>21</v>
      </c>
      <c r="D1701">
        <v>24.7</v>
      </c>
      <c r="E1701">
        <v>21</v>
      </c>
      <c r="F1701">
        <v>22.95</v>
      </c>
      <c r="G1701">
        <v>22.4</v>
      </c>
      <c r="H1701">
        <v>22.9</v>
      </c>
      <c r="I1701">
        <v>95805</v>
      </c>
      <c r="J1701">
        <v>2187653.1</v>
      </c>
      <c r="K1701" s="13">
        <v>43994</v>
      </c>
      <c r="L1701">
        <v>932</v>
      </c>
      <c r="M1701" t="s">
        <v>2707</v>
      </c>
    </row>
    <row r="1702" spans="1:13" x14ac:dyDescent="0.35">
      <c r="A1702" t="s">
        <v>2708</v>
      </c>
      <c r="B1702" t="s">
        <v>18</v>
      </c>
      <c r="C1702">
        <v>31.2</v>
      </c>
      <c r="D1702">
        <v>32.450000000000003</v>
      </c>
      <c r="E1702">
        <v>31.1</v>
      </c>
      <c r="F1702">
        <v>32.1</v>
      </c>
      <c r="G1702">
        <v>32</v>
      </c>
      <c r="H1702">
        <v>32.700000000000003</v>
      </c>
      <c r="I1702">
        <v>667639</v>
      </c>
      <c r="J1702">
        <v>21119570.800000001</v>
      </c>
      <c r="K1702" s="13">
        <v>43994</v>
      </c>
      <c r="L1702">
        <v>3126</v>
      </c>
      <c r="M1702" t="s">
        <v>2709</v>
      </c>
    </row>
    <row r="1703" spans="1:13" x14ac:dyDescent="0.35">
      <c r="A1703" t="s">
        <v>2710</v>
      </c>
      <c r="B1703" t="s">
        <v>18</v>
      </c>
      <c r="C1703">
        <v>312</v>
      </c>
      <c r="D1703">
        <v>335</v>
      </c>
      <c r="E1703">
        <v>305.25</v>
      </c>
      <c r="F1703">
        <v>331.15</v>
      </c>
      <c r="G1703">
        <v>326.89999999999998</v>
      </c>
      <c r="H1703">
        <v>322.14999999999998</v>
      </c>
      <c r="I1703">
        <v>244903</v>
      </c>
      <c r="J1703">
        <v>78953792.25</v>
      </c>
      <c r="K1703" s="13">
        <v>43994</v>
      </c>
      <c r="L1703">
        <v>9241</v>
      </c>
      <c r="M1703" t="s">
        <v>2711</v>
      </c>
    </row>
    <row r="1704" spans="1:13" x14ac:dyDescent="0.35">
      <c r="A1704" t="s">
        <v>2712</v>
      </c>
      <c r="B1704" t="s">
        <v>18</v>
      </c>
      <c r="C1704">
        <v>4.5</v>
      </c>
      <c r="D1704">
        <v>4.5999999999999996</v>
      </c>
      <c r="E1704">
        <v>4.5</v>
      </c>
      <c r="F1704">
        <v>4.5</v>
      </c>
      <c r="G1704">
        <v>4.5</v>
      </c>
      <c r="H1704">
        <v>4.7</v>
      </c>
      <c r="I1704">
        <v>10773028</v>
      </c>
      <c r="J1704">
        <v>48479920</v>
      </c>
      <c r="K1704" s="13">
        <v>43994</v>
      </c>
      <c r="L1704">
        <v>8135</v>
      </c>
      <c r="M1704" t="s">
        <v>2713</v>
      </c>
    </row>
    <row r="1705" spans="1:13" x14ac:dyDescent="0.35">
      <c r="A1705" t="s">
        <v>2714</v>
      </c>
      <c r="B1705" t="s">
        <v>18</v>
      </c>
      <c r="C1705">
        <v>111.1</v>
      </c>
      <c r="D1705">
        <v>115.5</v>
      </c>
      <c r="E1705">
        <v>110</v>
      </c>
      <c r="F1705">
        <v>113.2</v>
      </c>
      <c r="G1705">
        <v>112.35</v>
      </c>
      <c r="H1705">
        <v>115.9</v>
      </c>
      <c r="I1705">
        <v>97180</v>
      </c>
      <c r="J1705">
        <v>10996252.75</v>
      </c>
      <c r="K1705" s="13">
        <v>43994</v>
      </c>
      <c r="L1705">
        <v>1601</v>
      </c>
      <c r="M1705" t="s">
        <v>2715</v>
      </c>
    </row>
    <row r="1706" spans="1:13" x14ac:dyDescent="0.35">
      <c r="A1706" t="s">
        <v>2716</v>
      </c>
      <c r="B1706" t="s">
        <v>18</v>
      </c>
      <c r="C1706">
        <v>1215</v>
      </c>
      <c r="D1706">
        <v>1259.95</v>
      </c>
      <c r="E1706">
        <v>1191.75</v>
      </c>
      <c r="F1706">
        <v>1241.95</v>
      </c>
      <c r="G1706">
        <v>1237</v>
      </c>
      <c r="H1706">
        <v>1228.75</v>
      </c>
      <c r="I1706">
        <v>4319</v>
      </c>
      <c r="J1706">
        <v>5327028.25</v>
      </c>
      <c r="K1706" s="13">
        <v>43994</v>
      </c>
      <c r="L1706">
        <v>705</v>
      </c>
      <c r="M1706" t="s">
        <v>2717</v>
      </c>
    </row>
    <row r="1707" spans="1:13" x14ac:dyDescent="0.35">
      <c r="A1707" t="s">
        <v>2718</v>
      </c>
      <c r="B1707" t="s">
        <v>18</v>
      </c>
      <c r="C1707">
        <v>88.2</v>
      </c>
      <c r="D1707">
        <v>99.9</v>
      </c>
      <c r="E1707">
        <v>86.15</v>
      </c>
      <c r="F1707">
        <v>95.75</v>
      </c>
      <c r="G1707">
        <v>96.2</v>
      </c>
      <c r="H1707">
        <v>90.9</v>
      </c>
      <c r="I1707">
        <v>15614</v>
      </c>
      <c r="J1707">
        <v>1473283.2</v>
      </c>
      <c r="K1707" s="13">
        <v>43994</v>
      </c>
      <c r="L1707">
        <v>358</v>
      </c>
      <c r="M1707" t="s">
        <v>2719</v>
      </c>
    </row>
    <row r="1708" spans="1:13" x14ac:dyDescent="0.35">
      <c r="A1708" t="s">
        <v>2720</v>
      </c>
      <c r="B1708" t="s">
        <v>18</v>
      </c>
      <c r="C1708">
        <v>151.55000000000001</v>
      </c>
      <c r="D1708">
        <v>161</v>
      </c>
      <c r="E1708">
        <v>151.55000000000001</v>
      </c>
      <c r="F1708">
        <v>159.5</v>
      </c>
      <c r="G1708">
        <v>158.1</v>
      </c>
      <c r="H1708">
        <v>159.5</v>
      </c>
      <c r="I1708">
        <v>193807</v>
      </c>
      <c r="J1708">
        <v>30415796.649999999</v>
      </c>
      <c r="K1708" s="13">
        <v>43994</v>
      </c>
      <c r="L1708">
        <v>3662</v>
      </c>
      <c r="M1708" t="s">
        <v>2721</v>
      </c>
    </row>
    <row r="1709" spans="1:13" x14ac:dyDescent="0.35">
      <c r="A1709" t="s">
        <v>2722</v>
      </c>
      <c r="B1709" t="s">
        <v>18</v>
      </c>
      <c r="C1709">
        <v>865</v>
      </c>
      <c r="D1709">
        <v>894.9</v>
      </c>
      <c r="E1709">
        <v>860</v>
      </c>
      <c r="F1709">
        <v>889.1</v>
      </c>
      <c r="G1709">
        <v>889.8</v>
      </c>
      <c r="H1709">
        <v>888.85</v>
      </c>
      <c r="I1709">
        <v>52155</v>
      </c>
      <c r="J1709">
        <v>45774215.25</v>
      </c>
      <c r="K1709" s="13">
        <v>43994</v>
      </c>
      <c r="L1709">
        <v>5003</v>
      </c>
      <c r="M1709" t="s">
        <v>2723</v>
      </c>
    </row>
    <row r="1710" spans="1:13" x14ac:dyDescent="0.35">
      <c r="A1710" t="s">
        <v>4056</v>
      </c>
      <c r="B1710" t="s">
        <v>3391</v>
      </c>
      <c r="C1710">
        <v>1.9</v>
      </c>
      <c r="D1710">
        <v>1.9</v>
      </c>
      <c r="E1710">
        <v>1.8</v>
      </c>
      <c r="F1710">
        <v>1.9</v>
      </c>
      <c r="G1710">
        <v>1.9</v>
      </c>
      <c r="H1710">
        <v>1.85</v>
      </c>
      <c r="I1710">
        <v>160278</v>
      </c>
      <c r="J1710">
        <v>299337.90000000002</v>
      </c>
      <c r="K1710" s="13">
        <v>43994</v>
      </c>
      <c r="L1710">
        <v>166</v>
      </c>
      <c r="M1710" t="s">
        <v>4057</v>
      </c>
    </row>
    <row r="1711" spans="1:13" x14ac:dyDescent="0.35">
      <c r="A1711" t="s">
        <v>2724</v>
      </c>
      <c r="B1711" t="s">
        <v>18</v>
      </c>
      <c r="C1711">
        <v>346.4</v>
      </c>
      <c r="D1711">
        <v>371</v>
      </c>
      <c r="E1711">
        <v>346.4</v>
      </c>
      <c r="F1711">
        <v>367.7</v>
      </c>
      <c r="G1711">
        <v>365.9</v>
      </c>
      <c r="H1711">
        <v>364.1</v>
      </c>
      <c r="I1711">
        <v>164848</v>
      </c>
      <c r="J1711">
        <v>59386678.700000003</v>
      </c>
      <c r="K1711" s="13">
        <v>43994</v>
      </c>
      <c r="L1711">
        <v>4371</v>
      </c>
      <c r="M1711" t="s">
        <v>2725</v>
      </c>
    </row>
    <row r="1712" spans="1:13" x14ac:dyDescent="0.35">
      <c r="A1712" t="s">
        <v>2726</v>
      </c>
      <c r="B1712" t="s">
        <v>18</v>
      </c>
      <c r="C1712">
        <v>48</v>
      </c>
      <c r="D1712">
        <v>48</v>
      </c>
      <c r="E1712">
        <v>44.9</v>
      </c>
      <c r="F1712">
        <v>45.3</v>
      </c>
      <c r="G1712">
        <v>45.6</v>
      </c>
      <c r="H1712">
        <v>48.3</v>
      </c>
      <c r="I1712">
        <v>7662</v>
      </c>
      <c r="J1712">
        <v>348408.85</v>
      </c>
      <c r="K1712" s="13">
        <v>43994</v>
      </c>
      <c r="L1712">
        <v>174</v>
      </c>
      <c r="M1712" t="s">
        <v>2727</v>
      </c>
    </row>
    <row r="1713" spans="1:13" x14ac:dyDescent="0.35">
      <c r="A1713" t="s">
        <v>2728</v>
      </c>
      <c r="B1713" t="s">
        <v>18</v>
      </c>
      <c r="C1713">
        <v>137.65</v>
      </c>
      <c r="D1713">
        <v>151.55000000000001</v>
      </c>
      <c r="E1713">
        <v>137.65</v>
      </c>
      <c r="F1713">
        <v>149.55000000000001</v>
      </c>
      <c r="G1713">
        <v>149.05000000000001</v>
      </c>
      <c r="H1713">
        <v>152.35</v>
      </c>
      <c r="I1713">
        <v>61916</v>
      </c>
      <c r="J1713">
        <v>9011156.4000000004</v>
      </c>
      <c r="K1713" s="13">
        <v>43994</v>
      </c>
      <c r="L1713">
        <v>1997</v>
      </c>
      <c r="M1713" t="s">
        <v>2729</v>
      </c>
    </row>
    <row r="1714" spans="1:13" x14ac:dyDescent="0.35">
      <c r="A1714" t="s">
        <v>2730</v>
      </c>
      <c r="B1714" t="s">
        <v>18</v>
      </c>
      <c r="C1714">
        <v>59.85</v>
      </c>
      <c r="D1714">
        <v>59.85</v>
      </c>
      <c r="E1714">
        <v>59.85</v>
      </c>
      <c r="F1714">
        <v>59.85</v>
      </c>
      <c r="G1714">
        <v>59.85</v>
      </c>
      <c r="H1714">
        <v>62.95</v>
      </c>
      <c r="I1714">
        <v>61432</v>
      </c>
      <c r="J1714">
        <v>3676705.2</v>
      </c>
      <c r="K1714" s="13">
        <v>43994</v>
      </c>
      <c r="L1714">
        <v>382</v>
      </c>
      <c r="M1714" t="s">
        <v>2731</v>
      </c>
    </row>
    <row r="1715" spans="1:13" x14ac:dyDescent="0.35">
      <c r="A1715" t="s">
        <v>2732</v>
      </c>
      <c r="B1715" t="s">
        <v>18</v>
      </c>
      <c r="C1715">
        <v>95</v>
      </c>
      <c r="D1715">
        <v>99.3</v>
      </c>
      <c r="E1715">
        <v>92.35</v>
      </c>
      <c r="F1715">
        <v>97.55</v>
      </c>
      <c r="G1715">
        <v>98.5</v>
      </c>
      <c r="H1715">
        <v>98.1</v>
      </c>
      <c r="I1715">
        <v>19214</v>
      </c>
      <c r="J1715">
        <v>1839588.85</v>
      </c>
      <c r="K1715" s="13">
        <v>43994</v>
      </c>
      <c r="L1715">
        <v>710</v>
      </c>
      <c r="M1715" t="s">
        <v>2733</v>
      </c>
    </row>
    <row r="1716" spans="1:13" x14ac:dyDescent="0.35">
      <c r="A1716" t="s">
        <v>4058</v>
      </c>
      <c r="B1716" t="s">
        <v>3414</v>
      </c>
      <c r="C1716">
        <v>1.95</v>
      </c>
      <c r="D1716">
        <v>1.95</v>
      </c>
      <c r="E1716">
        <v>1.95</v>
      </c>
      <c r="F1716">
        <v>1.95</v>
      </c>
      <c r="G1716">
        <v>1.95</v>
      </c>
      <c r="H1716">
        <v>1.9</v>
      </c>
      <c r="I1716">
        <v>47850</v>
      </c>
      <c r="J1716">
        <v>93307.5</v>
      </c>
      <c r="K1716" s="13">
        <v>43994</v>
      </c>
      <c r="L1716">
        <v>40</v>
      </c>
      <c r="M1716" t="s">
        <v>4059</v>
      </c>
    </row>
    <row r="1717" spans="1:13" x14ac:dyDescent="0.35">
      <c r="A1717" t="s">
        <v>4060</v>
      </c>
      <c r="B1717" t="s">
        <v>3414</v>
      </c>
      <c r="C1717">
        <v>1.2</v>
      </c>
      <c r="D1717">
        <v>1.3</v>
      </c>
      <c r="E1717">
        <v>1.2</v>
      </c>
      <c r="F1717">
        <v>1.3</v>
      </c>
      <c r="G1717">
        <v>1.3</v>
      </c>
      <c r="H1717">
        <v>1.25</v>
      </c>
      <c r="I1717">
        <v>131861</v>
      </c>
      <c r="J1717">
        <v>166952.29999999999</v>
      </c>
      <c r="K1717" s="13">
        <v>43994</v>
      </c>
      <c r="L1717">
        <v>49</v>
      </c>
      <c r="M1717" t="s">
        <v>4061</v>
      </c>
    </row>
    <row r="1718" spans="1:13" x14ac:dyDescent="0.35">
      <c r="A1718" t="s">
        <v>2734</v>
      </c>
      <c r="B1718" t="s">
        <v>18</v>
      </c>
      <c r="C1718">
        <v>62.5</v>
      </c>
      <c r="D1718">
        <v>69.849999999999994</v>
      </c>
      <c r="E1718">
        <v>62</v>
      </c>
      <c r="F1718">
        <v>68.8</v>
      </c>
      <c r="G1718">
        <v>69</v>
      </c>
      <c r="H1718">
        <v>64.599999999999994</v>
      </c>
      <c r="I1718">
        <v>352732</v>
      </c>
      <c r="J1718">
        <v>23167760.100000001</v>
      </c>
      <c r="K1718" s="13">
        <v>43994</v>
      </c>
      <c r="L1718">
        <v>1515</v>
      </c>
      <c r="M1718" t="s">
        <v>2735</v>
      </c>
    </row>
    <row r="1719" spans="1:13" x14ac:dyDescent="0.35">
      <c r="A1719" t="s">
        <v>4062</v>
      </c>
      <c r="B1719" t="s">
        <v>3381</v>
      </c>
      <c r="C1719">
        <v>41</v>
      </c>
      <c r="D1719">
        <v>41</v>
      </c>
      <c r="E1719">
        <v>41</v>
      </c>
      <c r="F1719">
        <v>41</v>
      </c>
      <c r="G1719">
        <v>41</v>
      </c>
      <c r="H1719">
        <v>39.85</v>
      </c>
      <c r="I1719">
        <v>2000</v>
      </c>
      <c r="J1719">
        <v>82000</v>
      </c>
      <c r="K1719" s="13">
        <v>43994</v>
      </c>
      <c r="L1719">
        <v>1</v>
      </c>
      <c r="M1719" t="s">
        <v>4063</v>
      </c>
    </row>
    <row r="1720" spans="1:13" x14ac:dyDescent="0.35">
      <c r="A1720" t="s">
        <v>2736</v>
      </c>
      <c r="B1720" t="s">
        <v>18</v>
      </c>
      <c r="C1720">
        <v>23.05</v>
      </c>
      <c r="D1720">
        <v>25.75</v>
      </c>
      <c r="E1720">
        <v>23.05</v>
      </c>
      <c r="F1720">
        <v>24.75</v>
      </c>
      <c r="G1720">
        <v>24.75</v>
      </c>
      <c r="H1720">
        <v>24.1</v>
      </c>
      <c r="I1720">
        <v>80400</v>
      </c>
      <c r="J1720">
        <v>1996961.5</v>
      </c>
      <c r="K1720" s="13">
        <v>43994</v>
      </c>
      <c r="L1720">
        <v>399</v>
      </c>
      <c r="M1720" t="s">
        <v>2737</v>
      </c>
    </row>
    <row r="1721" spans="1:13" x14ac:dyDescent="0.35">
      <c r="A1721" t="s">
        <v>2738</v>
      </c>
      <c r="B1721" t="s">
        <v>18</v>
      </c>
      <c r="C1721">
        <v>10601</v>
      </c>
      <c r="D1721">
        <v>11200</v>
      </c>
      <c r="E1721">
        <v>10525.2</v>
      </c>
      <c r="F1721">
        <v>11073.3</v>
      </c>
      <c r="G1721">
        <v>11100</v>
      </c>
      <c r="H1721">
        <v>11004.7</v>
      </c>
      <c r="I1721">
        <v>1444</v>
      </c>
      <c r="J1721">
        <v>15862774.1</v>
      </c>
      <c r="K1721" s="13">
        <v>43994</v>
      </c>
      <c r="L1721">
        <v>768</v>
      </c>
      <c r="M1721" t="s">
        <v>2739</v>
      </c>
    </row>
    <row r="1722" spans="1:13" x14ac:dyDescent="0.35">
      <c r="A1722" t="s">
        <v>4064</v>
      </c>
      <c r="B1722" t="s">
        <v>3430</v>
      </c>
      <c r="C1722">
        <v>1032</v>
      </c>
      <c r="D1722">
        <v>1032</v>
      </c>
      <c r="E1722">
        <v>1027.01</v>
      </c>
      <c r="F1722">
        <v>1027.01</v>
      </c>
      <c r="G1722">
        <v>1027.01</v>
      </c>
      <c r="H1722">
        <v>1035</v>
      </c>
      <c r="I1722">
        <v>53</v>
      </c>
      <c r="J1722">
        <v>54681.03</v>
      </c>
      <c r="K1722" s="13">
        <v>43994</v>
      </c>
      <c r="L1722">
        <v>2</v>
      </c>
      <c r="M1722" t="s">
        <v>4065</v>
      </c>
    </row>
    <row r="1723" spans="1:13" x14ac:dyDescent="0.35">
      <c r="A1723" t="s">
        <v>2740</v>
      </c>
      <c r="B1723" t="s">
        <v>18</v>
      </c>
      <c r="C1723">
        <v>293</v>
      </c>
      <c r="D1723">
        <v>313.64999999999998</v>
      </c>
      <c r="E1723">
        <v>293</v>
      </c>
      <c r="F1723">
        <v>311.75</v>
      </c>
      <c r="G1723">
        <v>312.85000000000002</v>
      </c>
      <c r="H1723">
        <v>306.5</v>
      </c>
      <c r="I1723">
        <v>1981677</v>
      </c>
      <c r="J1723">
        <v>609286820.75</v>
      </c>
      <c r="K1723" s="13">
        <v>43994</v>
      </c>
      <c r="L1723">
        <v>27088</v>
      </c>
      <c r="M1723" t="s">
        <v>2741</v>
      </c>
    </row>
    <row r="1724" spans="1:13" x14ac:dyDescent="0.35">
      <c r="A1724" t="s">
        <v>2742</v>
      </c>
      <c r="B1724" t="s">
        <v>18</v>
      </c>
      <c r="C1724">
        <v>82.4</v>
      </c>
      <c r="D1724">
        <v>86.5</v>
      </c>
      <c r="E1724">
        <v>78.75</v>
      </c>
      <c r="F1724">
        <v>83.55</v>
      </c>
      <c r="G1724">
        <v>83.7</v>
      </c>
      <c r="H1724">
        <v>85.25</v>
      </c>
      <c r="I1724">
        <v>1180195</v>
      </c>
      <c r="J1724">
        <v>96194173.200000003</v>
      </c>
      <c r="K1724" s="13">
        <v>43994</v>
      </c>
      <c r="L1724">
        <v>10018</v>
      </c>
      <c r="M1724" t="s">
        <v>2743</v>
      </c>
    </row>
    <row r="1725" spans="1:13" x14ac:dyDescent="0.35">
      <c r="A1725" t="s">
        <v>2744</v>
      </c>
      <c r="B1725" t="s">
        <v>18</v>
      </c>
      <c r="C1725">
        <v>456</v>
      </c>
      <c r="D1725">
        <v>493.45</v>
      </c>
      <c r="E1725">
        <v>446.95</v>
      </c>
      <c r="F1725">
        <v>485.3</v>
      </c>
      <c r="G1725">
        <v>483.5</v>
      </c>
      <c r="H1725">
        <v>462</v>
      </c>
      <c r="I1725">
        <v>189442</v>
      </c>
      <c r="J1725">
        <v>90836615</v>
      </c>
      <c r="K1725" s="13">
        <v>43994</v>
      </c>
      <c r="L1725">
        <v>7802</v>
      </c>
      <c r="M1725" t="s">
        <v>2745</v>
      </c>
    </row>
    <row r="1726" spans="1:13" x14ac:dyDescent="0.35">
      <c r="A1726" t="s">
        <v>2746</v>
      </c>
      <c r="B1726" t="s">
        <v>18</v>
      </c>
      <c r="C1726">
        <v>365.1</v>
      </c>
      <c r="D1726">
        <v>373.05</v>
      </c>
      <c r="E1726">
        <v>365.1</v>
      </c>
      <c r="F1726">
        <v>371</v>
      </c>
      <c r="G1726">
        <v>371.75</v>
      </c>
      <c r="H1726">
        <v>375.8</v>
      </c>
      <c r="I1726">
        <v>3179903</v>
      </c>
      <c r="J1726">
        <v>1175136631.3</v>
      </c>
      <c r="K1726" s="13">
        <v>43994</v>
      </c>
      <c r="L1726">
        <v>50177</v>
      </c>
      <c r="M1726" t="s">
        <v>2747</v>
      </c>
    </row>
    <row r="1727" spans="1:13" x14ac:dyDescent="0.35">
      <c r="A1727" t="s">
        <v>2748</v>
      </c>
      <c r="B1727" t="s">
        <v>18</v>
      </c>
      <c r="C1727">
        <v>847</v>
      </c>
      <c r="D1727">
        <v>895.15</v>
      </c>
      <c r="E1727">
        <v>847</v>
      </c>
      <c r="F1727">
        <v>888.9</v>
      </c>
      <c r="G1727">
        <v>888.95</v>
      </c>
      <c r="H1727">
        <v>889.55</v>
      </c>
      <c r="I1727">
        <v>542228</v>
      </c>
      <c r="J1727">
        <v>474213396.80000001</v>
      </c>
      <c r="K1727" s="13">
        <v>43994</v>
      </c>
      <c r="L1727">
        <v>19289</v>
      </c>
      <c r="M1727" t="s">
        <v>2749</v>
      </c>
    </row>
    <row r="1728" spans="1:13" x14ac:dyDescent="0.35">
      <c r="A1728" t="s">
        <v>2750</v>
      </c>
      <c r="B1728" t="s">
        <v>18</v>
      </c>
      <c r="C1728">
        <v>706</v>
      </c>
      <c r="D1728">
        <v>723.9</v>
      </c>
      <c r="E1728">
        <v>701.3</v>
      </c>
      <c r="F1728">
        <v>722.05</v>
      </c>
      <c r="G1728">
        <v>722</v>
      </c>
      <c r="H1728">
        <v>720.4</v>
      </c>
      <c r="I1728">
        <v>9847</v>
      </c>
      <c r="J1728">
        <v>7036756.5</v>
      </c>
      <c r="K1728" s="13">
        <v>43994</v>
      </c>
      <c r="L1728">
        <v>1218</v>
      </c>
      <c r="M1728" t="s">
        <v>2751</v>
      </c>
    </row>
    <row r="1729" spans="1:13" x14ac:dyDescent="0.35">
      <c r="A1729" t="s">
        <v>2752</v>
      </c>
      <c r="B1729" t="s">
        <v>18</v>
      </c>
      <c r="C1729">
        <v>491.2</v>
      </c>
      <c r="D1729">
        <v>508</v>
      </c>
      <c r="E1729">
        <v>482.5</v>
      </c>
      <c r="F1729">
        <v>502.5</v>
      </c>
      <c r="G1729">
        <v>501.1</v>
      </c>
      <c r="H1729">
        <v>498.65</v>
      </c>
      <c r="I1729">
        <v>31109</v>
      </c>
      <c r="J1729">
        <v>15462839.25</v>
      </c>
      <c r="K1729" s="13">
        <v>43994</v>
      </c>
      <c r="L1729">
        <v>2047</v>
      </c>
      <c r="M1729" t="s">
        <v>2753</v>
      </c>
    </row>
    <row r="1730" spans="1:13" x14ac:dyDescent="0.35">
      <c r="A1730" t="s">
        <v>2754</v>
      </c>
      <c r="B1730" t="s">
        <v>18</v>
      </c>
      <c r="C1730">
        <v>98</v>
      </c>
      <c r="D1730">
        <v>106.25</v>
      </c>
      <c r="E1730">
        <v>98</v>
      </c>
      <c r="F1730">
        <v>105.3</v>
      </c>
      <c r="G1730">
        <v>104.75</v>
      </c>
      <c r="H1730">
        <v>106.15</v>
      </c>
      <c r="I1730">
        <v>92997378</v>
      </c>
      <c r="J1730">
        <v>9478305551.8999996</v>
      </c>
      <c r="K1730" s="13">
        <v>43994</v>
      </c>
      <c r="L1730">
        <v>288327</v>
      </c>
      <c r="M1730" t="s">
        <v>2755</v>
      </c>
    </row>
    <row r="1731" spans="1:13" x14ac:dyDescent="0.35">
      <c r="A1731" t="s">
        <v>2756</v>
      </c>
      <c r="B1731" t="s">
        <v>18</v>
      </c>
      <c r="C1731">
        <v>42.05</v>
      </c>
      <c r="D1731">
        <v>45</v>
      </c>
      <c r="E1731">
        <v>42</v>
      </c>
      <c r="F1731">
        <v>44.7</v>
      </c>
      <c r="G1731">
        <v>44.7</v>
      </c>
      <c r="H1731">
        <v>45.1</v>
      </c>
      <c r="I1731">
        <v>4210408</v>
      </c>
      <c r="J1731">
        <v>183716543.40000001</v>
      </c>
      <c r="K1731" s="13">
        <v>43994</v>
      </c>
      <c r="L1731">
        <v>17638</v>
      </c>
      <c r="M1731" t="s">
        <v>2757</v>
      </c>
    </row>
    <row r="1732" spans="1:13" x14ac:dyDescent="0.35">
      <c r="A1732" t="s">
        <v>2758</v>
      </c>
      <c r="B1732" t="s">
        <v>18</v>
      </c>
      <c r="C1732">
        <v>38</v>
      </c>
      <c r="D1732">
        <v>42.15</v>
      </c>
      <c r="E1732">
        <v>37.799999999999997</v>
      </c>
      <c r="F1732">
        <v>41.7</v>
      </c>
      <c r="G1732">
        <v>41.75</v>
      </c>
      <c r="H1732">
        <v>41.2</v>
      </c>
      <c r="I1732">
        <v>43585696</v>
      </c>
      <c r="J1732">
        <v>1783817999.9000001</v>
      </c>
      <c r="K1732" s="13">
        <v>43994</v>
      </c>
      <c r="L1732">
        <v>53864</v>
      </c>
      <c r="M1732" t="s">
        <v>2759</v>
      </c>
    </row>
    <row r="1733" spans="1:13" x14ac:dyDescent="0.35">
      <c r="A1733" t="s">
        <v>58</v>
      </c>
      <c r="B1733" t="s">
        <v>18</v>
      </c>
      <c r="C1733">
        <v>300</v>
      </c>
      <c r="D1733">
        <v>320.45</v>
      </c>
      <c r="E1733">
        <v>300</v>
      </c>
      <c r="F1733">
        <v>317.60000000000002</v>
      </c>
      <c r="G1733">
        <v>319.60000000000002</v>
      </c>
      <c r="H1733">
        <v>313.14999999999998</v>
      </c>
      <c r="I1733">
        <v>17558010</v>
      </c>
      <c r="J1733">
        <v>5409058690.8999996</v>
      </c>
      <c r="K1733" s="13">
        <v>43994</v>
      </c>
      <c r="L1733">
        <v>140583</v>
      </c>
      <c r="M1733" t="s">
        <v>2760</v>
      </c>
    </row>
    <row r="1734" spans="1:13" x14ac:dyDescent="0.35">
      <c r="A1734" t="s">
        <v>2761</v>
      </c>
      <c r="B1734" t="s">
        <v>18</v>
      </c>
      <c r="C1734">
        <v>18.2</v>
      </c>
      <c r="D1734">
        <v>19.8</v>
      </c>
      <c r="E1734">
        <v>18.2</v>
      </c>
      <c r="F1734">
        <v>19.600000000000001</v>
      </c>
      <c r="G1734">
        <v>19.8</v>
      </c>
      <c r="H1734">
        <v>19.45</v>
      </c>
      <c r="I1734">
        <v>2055273</v>
      </c>
      <c r="J1734">
        <v>38916512.899999999</v>
      </c>
      <c r="K1734" s="13">
        <v>43994</v>
      </c>
      <c r="L1734">
        <v>4220</v>
      </c>
      <c r="M1734" t="s">
        <v>2762</v>
      </c>
    </row>
    <row r="1735" spans="1:13" x14ac:dyDescent="0.35">
      <c r="A1735" t="s">
        <v>2763</v>
      </c>
      <c r="B1735" t="s">
        <v>18</v>
      </c>
      <c r="C1735">
        <v>261.10000000000002</v>
      </c>
      <c r="D1735">
        <v>276</v>
      </c>
      <c r="E1735">
        <v>256.3</v>
      </c>
      <c r="F1735">
        <v>274.5</v>
      </c>
      <c r="G1735">
        <v>275.39999999999998</v>
      </c>
      <c r="H1735">
        <v>275.60000000000002</v>
      </c>
      <c r="I1735">
        <v>31246</v>
      </c>
      <c r="J1735">
        <v>8400317.3000000007</v>
      </c>
      <c r="K1735" s="13">
        <v>43994</v>
      </c>
      <c r="L1735">
        <v>1361</v>
      </c>
      <c r="M1735" t="s">
        <v>2764</v>
      </c>
    </row>
    <row r="1736" spans="1:13" x14ac:dyDescent="0.35">
      <c r="A1736" t="s">
        <v>2765</v>
      </c>
      <c r="B1736" t="s">
        <v>18</v>
      </c>
      <c r="C1736">
        <v>25.3</v>
      </c>
      <c r="D1736">
        <v>30.35</v>
      </c>
      <c r="E1736">
        <v>25.3</v>
      </c>
      <c r="F1736">
        <v>30.2</v>
      </c>
      <c r="G1736">
        <v>30.35</v>
      </c>
      <c r="H1736">
        <v>27.6</v>
      </c>
      <c r="I1736">
        <v>350784</v>
      </c>
      <c r="J1736">
        <v>10110227.699999999</v>
      </c>
      <c r="K1736" s="13">
        <v>43994</v>
      </c>
      <c r="L1736">
        <v>2025</v>
      </c>
      <c r="M1736" t="s">
        <v>2766</v>
      </c>
    </row>
    <row r="1737" spans="1:13" x14ac:dyDescent="0.35">
      <c r="A1737" t="s">
        <v>4066</v>
      </c>
      <c r="B1737" t="s">
        <v>3583</v>
      </c>
      <c r="C1737">
        <v>1060</v>
      </c>
      <c r="D1737">
        <v>1060</v>
      </c>
      <c r="E1737">
        <v>1060</v>
      </c>
      <c r="F1737">
        <v>1060</v>
      </c>
      <c r="G1737">
        <v>1060</v>
      </c>
      <c r="H1737">
        <v>1080</v>
      </c>
      <c r="I1737">
        <v>10</v>
      </c>
      <c r="J1737">
        <v>10600</v>
      </c>
      <c r="K1737" s="13">
        <v>43994</v>
      </c>
      <c r="L1737">
        <v>1</v>
      </c>
      <c r="M1737" t="s">
        <v>4067</v>
      </c>
    </row>
    <row r="1738" spans="1:13" x14ac:dyDescent="0.35">
      <c r="A1738" t="s">
        <v>4066</v>
      </c>
      <c r="B1738" t="s">
        <v>4068</v>
      </c>
      <c r="C1738">
        <v>1080</v>
      </c>
      <c r="D1738">
        <v>1083.5999999999999</v>
      </c>
      <c r="E1738">
        <v>1080</v>
      </c>
      <c r="F1738">
        <v>1081.8699999999999</v>
      </c>
      <c r="G1738">
        <v>1081.1500000000001</v>
      </c>
      <c r="H1738">
        <v>1082</v>
      </c>
      <c r="I1738">
        <v>817</v>
      </c>
      <c r="J1738">
        <v>883654.6</v>
      </c>
      <c r="K1738" s="13">
        <v>43994</v>
      </c>
      <c r="L1738">
        <v>15</v>
      </c>
      <c r="M1738" t="s">
        <v>4069</v>
      </c>
    </row>
    <row r="1739" spans="1:13" x14ac:dyDescent="0.35">
      <c r="A1739" t="s">
        <v>4066</v>
      </c>
      <c r="B1739" t="s">
        <v>3577</v>
      </c>
      <c r="C1739">
        <v>1105</v>
      </c>
      <c r="D1739">
        <v>1114</v>
      </c>
      <c r="E1739">
        <v>1105</v>
      </c>
      <c r="F1739">
        <v>1114</v>
      </c>
      <c r="G1739">
        <v>1114</v>
      </c>
      <c r="H1739">
        <v>1116.76</v>
      </c>
      <c r="I1739">
        <v>1031</v>
      </c>
      <c r="J1739">
        <v>1144929.7</v>
      </c>
      <c r="K1739" s="13">
        <v>43994</v>
      </c>
      <c r="L1739">
        <v>34</v>
      </c>
      <c r="M1739" t="s">
        <v>4070</v>
      </c>
    </row>
    <row r="1740" spans="1:13" x14ac:dyDescent="0.35">
      <c r="A1740" t="s">
        <v>4066</v>
      </c>
      <c r="B1740" t="s">
        <v>3483</v>
      </c>
      <c r="C1740">
        <v>1158</v>
      </c>
      <c r="D1740">
        <v>1158</v>
      </c>
      <c r="E1740">
        <v>1150.1500000000001</v>
      </c>
      <c r="F1740">
        <v>1150.1500000000001</v>
      </c>
      <c r="G1740">
        <v>1150.1500000000001</v>
      </c>
      <c r="H1740">
        <v>1145</v>
      </c>
      <c r="I1740">
        <v>80</v>
      </c>
      <c r="J1740">
        <v>92051.25</v>
      </c>
      <c r="K1740" s="13">
        <v>43994</v>
      </c>
      <c r="L1740">
        <v>4</v>
      </c>
      <c r="M1740" t="s">
        <v>4071</v>
      </c>
    </row>
    <row r="1741" spans="1:13" x14ac:dyDescent="0.35">
      <c r="A1741" t="s">
        <v>4066</v>
      </c>
      <c r="B1741" t="s">
        <v>814</v>
      </c>
      <c r="C1741">
        <v>1085</v>
      </c>
      <c r="D1741">
        <v>1098</v>
      </c>
      <c r="E1741">
        <v>1080</v>
      </c>
      <c r="F1741">
        <v>1090</v>
      </c>
      <c r="G1741">
        <v>1090</v>
      </c>
      <c r="H1741">
        <v>1080</v>
      </c>
      <c r="I1741">
        <v>435</v>
      </c>
      <c r="J1741">
        <v>474515.6</v>
      </c>
      <c r="K1741" s="13">
        <v>43994</v>
      </c>
      <c r="L1741">
        <v>18</v>
      </c>
      <c r="M1741" t="s">
        <v>4072</v>
      </c>
    </row>
    <row r="1742" spans="1:13" x14ac:dyDescent="0.35">
      <c r="A1742" t="s">
        <v>4066</v>
      </c>
      <c r="B1742" t="s">
        <v>3608</v>
      </c>
      <c r="C1742">
        <v>1105.02</v>
      </c>
      <c r="D1742">
        <v>1115</v>
      </c>
      <c r="E1742">
        <v>1105.02</v>
      </c>
      <c r="F1742">
        <v>1115</v>
      </c>
      <c r="G1742">
        <v>1115</v>
      </c>
      <c r="H1742">
        <v>1106.32</v>
      </c>
      <c r="I1742">
        <v>30</v>
      </c>
      <c r="J1742">
        <v>33350.199999999997</v>
      </c>
      <c r="K1742" s="13">
        <v>43994</v>
      </c>
      <c r="L1742">
        <v>2</v>
      </c>
      <c r="M1742" t="s">
        <v>4073</v>
      </c>
    </row>
    <row r="1743" spans="1:13" x14ac:dyDescent="0.35">
      <c r="A1743" t="s">
        <v>2767</v>
      </c>
      <c r="B1743" t="s">
        <v>18</v>
      </c>
      <c r="C1743">
        <v>160</v>
      </c>
      <c r="D1743">
        <v>168.5</v>
      </c>
      <c r="E1743">
        <v>160</v>
      </c>
      <c r="F1743">
        <v>167.3</v>
      </c>
      <c r="G1743">
        <v>167</v>
      </c>
      <c r="H1743">
        <v>167.65</v>
      </c>
      <c r="I1743">
        <v>27353</v>
      </c>
      <c r="J1743">
        <v>4500020.05</v>
      </c>
      <c r="K1743" s="13">
        <v>43994</v>
      </c>
      <c r="L1743">
        <v>845</v>
      </c>
      <c r="M1743" t="s">
        <v>2768</v>
      </c>
    </row>
    <row r="1744" spans="1:13" x14ac:dyDescent="0.35">
      <c r="A1744" t="s">
        <v>2769</v>
      </c>
      <c r="B1744" t="s">
        <v>18</v>
      </c>
      <c r="C1744">
        <v>271.14999999999998</v>
      </c>
      <c r="D1744">
        <v>282</v>
      </c>
      <c r="E1744">
        <v>271.10000000000002</v>
      </c>
      <c r="F1744">
        <v>281.2</v>
      </c>
      <c r="G1744">
        <v>282</v>
      </c>
      <c r="H1744">
        <v>277.25</v>
      </c>
      <c r="I1744">
        <v>209</v>
      </c>
      <c r="J1744">
        <v>57702.05</v>
      </c>
      <c r="K1744" s="13">
        <v>43994</v>
      </c>
      <c r="L1744">
        <v>41</v>
      </c>
      <c r="M1744" t="s">
        <v>2770</v>
      </c>
    </row>
    <row r="1745" spans="1:13" x14ac:dyDescent="0.35">
      <c r="A1745" t="s">
        <v>2771</v>
      </c>
      <c r="B1745" t="s">
        <v>18</v>
      </c>
      <c r="C1745">
        <v>628.1</v>
      </c>
      <c r="D1745">
        <v>660</v>
      </c>
      <c r="E1745">
        <v>628.1</v>
      </c>
      <c r="F1745">
        <v>656.35</v>
      </c>
      <c r="G1745">
        <v>657.85</v>
      </c>
      <c r="H1745">
        <v>656</v>
      </c>
      <c r="I1745">
        <v>11074</v>
      </c>
      <c r="J1745">
        <v>7188042.7000000002</v>
      </c>
      <c r="K1745" s="13">
        <v>43994</v>
      </c>
      <c r="L1745">
        <v>1197</v>
      </c>
      <c r="M1745" t="s">
        <v>2772</v>
      </c>
    </row>
    <row r="1746" spans="1:13" x14ac:dyDescent="0.35">
      <c r="A1746" t="s">
        <v>2773</v>
      </c>
      <c r="B1746" t="s">
        <v>18</v>
      </c>
      <c r="C1746">
        <v>5.5</v>
      </c>
      <c r="D1746">
        <v>5.5</v>
      </c>
      <c r="E1746">
        <v>5.25</v>
      </c>
      <c r="F1746">
        <v>5.4</v>
      </c>
      <c r="G1746">
        <v>5.45</v>
      </c>
      <c r="H1746">
        <v>5.5</v>
      </c>
      <c r="I1746">
        <v>4193</v>
      </c>
      <c r="J1746">
        <v>22493.35</v>
      </c>
      <c r="K1746" s="13">
        <v>43994</v>
      </c>
      <c r="L1746">
        <v>40</v>
      </c>
      <c r="M1746" t="s">
        <v>2774</v>
      </c>
    </row>
    <row r="1747" spans="1:13" x14ac:dyDescent="0.35">
      <c r="A1747" t="s">
        <v>2775</v>
      </c>
      <c r="B1747" t="s">
        <v>18</v>
      </c>
      <c r="C1747">
        <v>372.55</v>
      </c>
      <c r="D1747">
        <v>393.95</v>
      </c>
      <c r="E1747">
        <v>371.35</v>
      </c>
      <c r="F1747">
        <v>381.9</v>
      </c>
      <c r="G1747">
        <v>381.2</v>
      </c>
      <c r="H1747">
        <v>389.7</v>
      </c>
      <c r="I1747">
        <v>6826</v>
      </c>
      <c r="J1747">
        <v>2618102.75</v>
      </c>
      <c r="K1747" s="13">
        <v>43994</v>
      </c>
      <c r="L1747">
        <v>681</v>
      </c>
      <c r="M1747" t="s">
        <v>2776</v>
      </c>
    </row>
    <row r="1748" spans="1:13" x14ac:dyDescent="0.35">
      <c r="A1748" t="s">
        <v>2777</v>
      </c>
      <c r="B1748" t="s">
        <v>18</v>
      </c>
      <c r="C1748">
        <v>235.3</v>
      </c>
      <c r="D1748">
        <v>243.5</v>
      </c>
      <c r="E1748">
        <v>232</v>
      </c>
      <c r="F1748">
        <v>240.2</v>
      </c>
      <c r="G1748">
        <v>240</v>
      </c>
      <c r="H1748">
        <v>236.45</v>
      </c>
      <c r="I1748">
        <v>3206</v>
      </c>
      <c r="J1748">
        <v>764316.6</v>
      </c>
      <c r="K1748" s="13">
        <v>43994</v>
      </c>
      <c r="L1748">
        <v>165</v>
      </c>
      <c r="M1748" t="s">
        <v>2778</v>
      </c>
    </row>
    <row r="1749" spans="1:13" x14ac:dyDescent="0.35">
      <c r="A1749" t="s">
        <v>2779</v>
      </c>
      <c r="B1749" t="s">
        <v>18</v>
      </c>
      <c r="C1749">
        <v>2011.2</v>
      </c>
      <c r="D1749">
        <v>2049.1999999999998</v>
      </c>
      <c r="E1749">
        <v>2011</v>
      </c>
      <c r="F1749">
        <v>2039.5</v>
      </c>
      <c r="G1749">
        <v>2037.6</v>
      </c>
      <c r="H1749">
        <v>2067.65</v>
      </c>
      <c r="I1749">
        <v>2842757</v>
      </c>
      <c r="J1749">
        <v>5760775770.1499996</v>
      </c>
      <c r="K1749" s="13">
        <v>43994</v>
      </c>
      <c r="L1749">
        <v>130558</v>
      </c>
      <c r="M1749" t="s">
        <v>2780</v>
      </c>
    </row>
    <row r="1750" spans="1:13" x14ac:dyDescent="0.35">
      <c r="A1750" t="s">
        <v>2781</v>
      </c>
      <c r="B1750" t="s">
        <v>18</v>
      </c>
      <c r="C1750">
        <v>104.95</v>
      </c>
      <c r="D1750">
        <v>104.95</v>
      </c>
      <c r="E1750">
        <v>91.95</v>
      </c>
      <c r="F1750">
        <v>101.25</v>
      </c>
      <c r="G1750">
        <v>101.2</v>
      </c>
      <c r="H1750">
        <v>103.75</v>
      </c>
      <c r="I1750">
        <v>8470</v>
      </c>
      <c r="J1750">
        <v>833556.1</v>
      </c>
      <c r="K1750" s="13">
        <v>43994</v>
      </c>
      <c r="L1750">
        <v>288</v>
      </c>
      <c r="M1750" t="s">
        <v>2782</v>
      </c>
    </row>
    <row r="1751" spans="1:13" x14ac:dyDescent="0.35">
      <c r="A1751" t="s">
        <v>2783</v>
      </c>
      <c r="B1751" t="s">
        <v>18</v>
      </c>
      <c r="C1751">
        <v>1675</v>
      </c>
      <c r="D1751">
        <v>1717.25</v>
      </c>
      <c r="E1751">
        <v>1652.35</v>
      </c>
      <c r="F1751">
        <v>1682.1</v>
      </c>
      <c r="G1751">
        <v>1679</v>
      </c>
      <c r="H1751">
        <v>1703.35</v>
      </c>
      <c r="I1751">
        <v>23526</v>
      </c>
      <c r="J1751">
        <v>39521083.649999999</v>
      </c>
      <c r="K1751" s="13">
        <v>43994</v>
      </c>
      <c r="L1751">
        <v>1945</v>
      </c>
      <c r="M1751" t="s">
        <v>2784</v>
      </c>
    </row>
    <row r="1752" spans="1:13" x14ac:dyDescent="0.35">
      <c r="A1752" t="s">
        <v>2785</v>
      </c>
      <c r="B1752" t="s">
        <v>18</v>
      </c>
      <c r="C1752">
        <v>550</v>
      </c>
      <c r="D1752">
        <v>561.9</v>
      </c>
      <c r="E1752">
        <v>550</v>
      </c>
      <c r="F1752">
        <v>554.70000000000005</v>
      </c>
      <c r="G1752">
        <v>554.29999999999995</v>
      </c>
      <c r="H1752">
        <v>571.85</v>
      </c>
      <c r="I1752">
        <v>3603893</v>
      </c>
      <c r="J1752">
        <v>1999661711</v>
      </c>
      <c r="K1752" s="13">
        <v>43994</v>
      </c>
      <c r="L1752">
        <v>67300</v>
      </c>
      <c r="M1752" t="s">
        <v>2786</v>
      </c>
    </row>
    <row r="1753" spans="1:13" x14ac:dyDescent="0.35">
      <c r="A1753" t="s">
        <v>2787</v>
      </c>
      <c r="B1753" t="s">
        <v>18</v>
      </c>
      <c r="C1753">
        <v>187.9</v>
      </c>
      <c r="D1753">
        <v>195.75</v>
      </c>
      <c r="E1753">
        <v>182.05</v>
      </c>
      <c r="F1753">
        <v>191.05</v>
      </c>
      <c r="G1753">
        <v>190</v>
      </c>
      <c r="H1753">
        <v>190.25</v>
      </c>
      <c r="I1753">
        <v>13421</v>
      </c>
      <c r="J1753">
        <v>2545004.9</v>
      </c>
      <c r="K1753" s="13">
        <v>43994</v>
      </c>
      <c r="L1753">
        <v>944</v>
      </c>
      <c r="M1753" t="s">
        <v>2788</v>
      </c>
    </row>
    <row r="1754" spans="1:13" x14ac:dyDescent="0.35">
      <c r="A1754" t="s">
        <v>2789</v>
      </c>
      <c r="B1754" t="s">
        <v>18</v>
      </c>
      <c r="C1754">
        <v>7.15</v>
      </c>
      <c r="D1754">
        <v>7.2</v>
      </c>
      <c r="E1754">
        <v>6.6</v>
      </c>
      <c r="F1754">
        <v>7.2</v>
      </c>
      <c r="G1754">
        <v>7.2</v>
      </c>
      <c r="H1754">
        <v>6.9</v>
      </c>
      <c r="I1754">
        <v>82345</v>
      </c>
      <c r="J1754">
        <v>568018.55000000005</v>
      </c>
      <c r="K1754" s="13">
        <v>43994</v>
      </c>
      <c r="L1754">
        <v>144</v>
      </c>
      <c r="M1754" t="s">
        <v>2790</v>
      </c>
    </row>
    <row r="1755" spans="1:13" x14ac:dyDescent="0.35">
      <c r="A1755" t="s">
        <v>2791</v>
      </c>
      <c r="B1755" t="s">
        <v>18</v>
      </c>
      <c r="C1755">
        <v>49.05</v>
      </c>
      <c r="D1755">
        <v>49.05</v>
      </c>
      <c r="E1755">
        <v>49.05</v>
      </c>
      <c r="F1755">
        <v>49.05</v>
      </c>
      <c r="G1755">
        <v>49.05</v>
      </c>
      <c r="H1755">
        <v>51.6</v>
      </c>
      <c r="I1755">
        <v>35809</v>
      </c>
      <c r="J1755">
        <v>1756431.45</v>
      </c>
      <c r="K1755" s="13">
        <v>43994</v>
      </c>
      <c r="L1755">
        <v>301</v>
      </c>
      <c r="M1755" t="s">
        <v>2792</v>
      </c>
    </row>
    <row r="1756" spans="1:13" x14ac:dyDescent="0.35">
      <c r="A1756" t="s">
        <v>2793</v>
      </c>
      <c r="B1756" t="s">
        <v>18</v>
      </c>
      <c r="C1756">
        <v>19.7</v>
      </c>
      <c r="D1756">
        <v>21.8</v>
      </c>
      <c r="E1756">
        <v>18.05</v>
      </c>
      <c r="F1756">
        <v>21.05</v>
      </c>
      <c r="G1756">
        <v>20.8</v>
      </c>
      <c r="H1756">
        <v>19.649999999999999</v>
      </c>
      <c r="I1756">
        <v>56598</v>
      </c>
      <c r="J1756">
        <v>1159164.3</v>
      </c>
      <c r="K1756" s="13">
        <v>43994</v>
      </c>
      <c r="L1756">
        <v>333</v>
      </c>
      <c r="M1756" t="s">
        <v>2794</v>
      </c>
    </row>
    <row r="1757" spans="1:13" x14ac:dyDescent="0.35">
      <c r="A1757" t="s">
        <v>2795</v>
      </c>
      <c r="B1757" t="s">
        <v>18</v>
      </c>
      <c r="C1757">
        <v>30.9</v>
      </c>
      <c r="D1757">
        <v>34.1</v>
      </c>
      <c r="E1757">
        <v>30.9</v>
      </c>
      <c r="F1757">
        <v>33.299999999999997</v>
      </c>
      <c r="G1757">
        <v>33.75</v>
      </c>
      <c r="H1757">
        <v>32.85</v>
      </c>
      <c r="I1757">
        <v>19398</v>
      </c>
      <c r="J1757">
        <v>640751.5</v>
      </c>
      <c r="K1757" s="13">
        <v>43994</v>
      </c>
      <c r="L1757">
        <v>304</v>
      </c>
      <c r="M1757" t="s">
        <v>2796</v>
      </c>
    </row>
    <row r="1758" spans="1:13" x14ac:dyDescent="0.35">
      <c r="A1758" t="s">
        <v>2797</v>
      </c>
      <c r="B1758" t="s">
        <v>18</v>
      </c>
      <c r="C1758">
        <v>12</v>
      </c>
      <c r="D1758">
        <v>12.6</v>
      </c>
      <c r="E1758">
        <v>12</v>
      </c>
      <c r="F1758">
        <v>12.55</v>
      </c>
      <c r="G1758">
        <v>12.55</v>
      </c>
      <c r="H1758">
        <v>12.4</v>
      </c>
      <c r="I1758">
        <v>38883</v>
      </c>
      <c r="J1758">
        <v>479188.6</v>
      </c>
      <c r="K1758" s="13">
        <v>43994</v>
      </c>
      <c r="L1758">
        <v>191</v>
      </c>
      <c r="M1758" t="s">
        <v>2798</v>
      </c>
    </row>
    <row r="1759" spans="1:13" x14ac:dyDescent="0.35">
      <c r="A1759" t="s">
        <v>2799</v>
      </c>
      <c r="B1759" t="s">
        <v>18</v>
      </c>
      <c r="C1759">
        <v>24.55</v>
      </c>
      <c r="D1759">
        <v>27.05</v>
      </c>
      <c r="E1759">
        <v>24.2</v>
      </c>
      <c r="F1759">
        <v>26.7</v>
      </c>
      <c r="G1759">
        <v>26.9</v>
      </c>
      <c r="H1759">
        <v>25.6</v>
      </c>
      <c r="I1759">
        <v>249453</v>
      </c>
      <c r="J1759">
        <v>6454070.5</v>
      </c>
      <c r="K1759" s="13">
        <v>43994</v>
      </c>
      <c r="L1759">
        <v>1749</v>
      </c>
      <c r="M1759" t="s">
        <v>2800</v>
      </c>
    </row>
    <row r="1760" spans="1:13" x14ac:dyDescent="0.35">
      <c r="A1760" t="s">
        <v>2801</v>
      </c>
      <c r="B1760" t="s">
        <v>18</v>
      </c>
      <c r="C1760">
        <v>35.25</v>
      </c>
      <c r="D1760">
        <v>38.9</v>
      </c>
      <c r="E1760">
        <v>35.25</v>
      </c>
      <c r="F1760">
        <v>38.799999999999997</v>
      </c>
      <c r="G1760">
        <v>38.9</v>
      </c>
      <c r="H1760">
        <v>37.049999999999997</v>
      </c>
      <c r="I1760">
        <v>107223</v>
      </c>
      <c r="J1760">
        <v>3987227</v>
      </c>
      <c r="K1760" s="13">
        <v>43994</v>
      </c>
      <c r="L1760">
        <v>1027</v>
      </c>
      <c r="M1760" t="s">
        <v>2802</v>
      </c>
    </row>
    <row r="1761" spans="1:13" x14ac:dyDescent="0.35">
      <c r="A1761" t="s">
        <v>2803</v>
      </c>
      <c r="B1761" t="s">
        <v>18</v>
      </c>
      <c r="C1761">
        <v>2.9</v>
      </c>
      <c r="D1761">
        <v>2.9</v>
      </c>
      <c r="E1761">
        <v>2.9</v>
      </c>
      <c r="F1761">
        <v>2.9</v>
      </c>
      <c r="G1761">
        <v>2.9</v>
      </c>
      <c r="H1761">
        <v>2.8</v>
      </c>
      <c r="I1761">
        <v>186</v>
      </c>
      <c r="J1761">
        <v>539.4</v>
      </c>
      <c r="K1761" s="13">
        <v>43994</v>
      </c>
      <c r="L1761">
        <v>4</v>
      </c>
      <c r="M1761" t="s">
        <v>2804</v>
      </c>
    </row>
    <row r="1762" spans="1:13" x14ac:dyDescent="0.35">
      <c r="A1762" t="s">
        <v>2805</v>
      </c>
      <c r="B1762" t="s">
        <v>18</v>
      </c>
      <c r="C1762">
        <v>3.25</v>
      </c>
      <c r="D1762">
        <v>3.25</v>
      </c>
      <c r="E1762">
        <v>3.1</v>
      </c>
      <c r="F1762">
        <v>3.1</v>
      </c>
      <c r="G1762">
        <v>3.1</v>
      </c>
      <c r="H1762">
        <v>3.25</v>
      </c>
      <c r="I1762">
        <v>10210</v>
      </c>
      <c r="J1762">
        <v>32282.5</v>
      </c>
      <c r="K1762" s="13">
        <v>43994</v>
      </c>
      <c r="L1762">
        <v>11</v>
      </c>
      <c r="M1762" t="s">
        <v>2806</v>
      </c>
    </row>
    <row r="1763" spans="1:13" x14ac:dyDescent="0.35">
      <c r="A1763" t="s">
        <v>2807</v>
      </c>
      <c r="B1763" t="s">
        <v>18</v>
      </c>
      <c r="C1763">
        <v>260</v>
      </c>
      <c r="D1763">
        <v>295.8</v>
      </c>
      <c r="E1763">
        <v>251.5</v>
      </c>
      <c r="F1763">
        <v>290.60000000000002</v>
      </c>
      <c r="G1763">
        <v>289.95</v>
      </c>
      <c r="H1763">
        <v>265</v>
      </c>
      <c r="I1763">
        <v>87105</v>
      </c>
      <c r="J1763">
        <v>24931593.600000001</v>
      </c>
      <c r="K1763" s="13">
        <v>43994</v>
      </c>
      <c r="L1763">
        <v>1853</v>
      </c>
      <c r="M1763" t="s">
        <v>2808</v>
      </c>
    </row>
    <row r="1764" spans="1:13" x14ac:dyDescent="0.35">
      <c r="A1764" t="s">
        <v>2809</v>
      </c>
      <c r="B1764" t="s">
        <v>18</v>
      </c>
      <c r="C1764">
        <v>99.7</v>
      </c>
      <c r="D1764">
        <v>105</v>
      </c>
      <c r="E1764">
        <v>99.55</v>
      </c>
      <c r="F1764">
        <v>100</v>
      </c>
      <c r="G1764">
        <v>99.55</v>
      </c>
      <c r="H1764">
        <v>104.75</v>
      </c>
      <c r="I1764">
        <v>5911</v>
      </c>
      <c r="J1764">
        <v>591904.1</v>
      </c>
      <c r="K1764" s="13">
        <v>43994</v>
      </c>
      <c r="L1764">
        <v>60</v>
      </c>
      <c r="M1764" t="s">
        <v>2810</v>
      </c>
    </row>
    <row r="1765" spans="1:13" x14ac:dyDescent="0.35">
      <c r="A1765" t="s">
        <v>2811</v>
      </c>
      <c r="B1765" t="s">
        <v>18</v>
      </c>
      <c r="C1765">
        <v>290</v>
      </c>
      <c r="D1765">
        <v>310</v>
      </c>
      <c r="E1765">
        <v>290</v>
      </c>
      <c r="F1765">
        <v>304.14999999999998</v>
      </c>
      <c r="G1765">
        <v>307</v>
      </c>
      <c r="H1765">
        <v>306.5</v>
      </c>
      <c r="I1765">
        <v>7014</v>
      </c>
      <c r="J1765">
        <v>2128089.25</v>
      </c>
      <c r="K1765" s="13">
        <v>43994</v>
      </c>
      <c r="L1765">
        <v>383</v>
      </c>
      <c r="M1765" t="s">
        <v>2812</v>
      </c>
    </row>
    <row r="1766" spans="1:13" x14ac:dyDescent="0.35">
      <c r="A1766" t="s">
        <v>2813</v>
      </c>
      <c r="B1766" t="s">
        <v>18</v>
      </c>
      <c r="C1766">
        <v>705</v>
      </c>
      <c r="D1766">
        <v>722.7</v>
      </c>
      <c r="E1766">
        <v>701.6</v>
      </c>
      <c r="F1766">
        <v>718.1</v>
      </c>
      <c r="G1766">
        <v>716.2</v>
      </c>
      <c r="H1766">
        <v>718.6</v>
      </c>
      <c r="I1766">
        <v>28477</v>
      </c>
      <c r="J1766">
        <v>20380697.449999999</v>
      </c>
      <c r="K1766" s="13">
        <v>43994</v>
      </c>
      <c r="L1766">
        <v>1187</v>
      </c>
      <c r="M1766" t="s">
        <v>2814</v>
      </c>
    </row>
    <row r="1767" spans="1:13" x14ac:dyDescent="0.35">
      <c r="A1767" t="s">
        <v>4074</v>
      </c>
      <c r="B1767" t="s">
        <v>3414</v>
      </c>
      <c r="C1767">
        <v>3</v>
      </c>
      <c r="D1767">
        <v>3</v>
      </c>
      <c r="E1767">
        <v>3</v>
      </c>
      <c r="F1767">
        <v>3</v>
      </c>
      <c r="G1767">
        <v>3</v>
      </c>
      <c r="H1767">
        <v>2.9</v>
      </c>
      <c r="I1767">
        <v>531</v>
      </c>
      <c r="J1767">
        <v>1593</v>
      </c>
      <c r="K1767" s="13">
        <v>43994</v>
      </c>
      <c r="L1767">
        <v>3</v>
      </c>
      <c r="M1767" t="s">
        <v>4075</v>
      </c>
    </row>
    <row r="1768" spans="1:13" x14ac:dyDescent="0.35">
      <c r="A1768" t="s">
        <v>2815</v>
      </c>
      <c r="B1768" t="s">
        <v>18</v>
      </c>
      <c r="C1768">
        <v>27.6</v>
      </c>
      <c r="D1768">
        <v>28.95</v>
      </c>
      <c r="E1768">
        <v>27.6</v>
      </c>
      <c r="F1768">
        <v>28.7</v>
      </c>
      <c r="G1768">
        <v>28.65</v>
      </c>
      <c r="H1768">
        <v>29.05</v>
      </c>
      <c r="I1768">
        <v>335076</v>
      </c>
      <c r="J1768">
        <v>9438224.8000000007</v>
      </c>
      <c r="K1768" s="13">
        <v>43994</v>
      </c>
      <c r="L1768">
        <v>1843</v>
      </c>
      <c r="M1768" t="s">
        <v>2816</v>
      </c>
    </row>
    <row r="1769" spans="1:13" x14ac:dyDescent="0.35">
      <c r="A1769" t="s">
        <v>2817</v>
      </c>
      <c r="B1769" t="s">
        <v>18</v>
      </c>
      <c r="C1769">
        <v>534</v>
      </c>
      <c r="D1769">
        <v>534</v>
      </c>
      <c r="E1769">
        <v>505</v>
      </c>
      <c r="F1769">
        <v>518.45000000000005</v>
      </c>
      <c r="G1769">
        <v>514.95000000000005</v>
      </c>
      <c r="H1769">
        <v>534.65</v>
      </c>
      <c r="I1769">
        <v>145478</v>
      </c>
      <c r="J1769">
        <v>75077552.450000003</v>
      </c>
      <c r="K1769" s="13">
        <v>43994</v>
      </c>
      <c r="L1769">
        <v>6369</v>
      </c>
      <c r="M1769" t="s">
        <v>2818</v>
      </c>
    </row>
    <row r="1770" spans="1:13" x14ac:dyDescent="0.35">
      <c r="A1770" t="s">
        <v>2819</v>
      </c>
      <c r="B1770" t="s">
        <v>18</v>
      </c>
      <c r="C1770">
        <v>16.8</v>
      </c>
      <c r="D1770">
        <v>18.25</v>
      </c>
      <c r="E1770">
        <v>16.600000000000001</v>
      </c>
      <c r="F1770">
        <v>18.05</v>
      </c>
      <c r="G1770">
        <v>18</v>
      </c>
      <c r="H1770">
        <v>17.05</v>
      </c>
      <c r="I1770">
        <v>131785</v>
      </c>
      <c r="J1770">
        <v>2371818.2000000002</v>
      </c>
      <c r="K1770" s="13">
        <v>43994</v>
      </c>
      <c r="L1770">
        <v>287</v>
      </c>
      <c r="M1770" t="s">
        <v>2820</v>
      </c>
    </row>
    <row r="1771" spans="1:13" x14ac:dyDescent="0.35">
      <c r="A1771" t="s">
        <v>2821</v>
      </c>
      <c r="B1771" t="s">
        <v>18</v>
      </c>
      <c r="C1771">
        <v>3800</v>
      </c>
      <c r="D1771">
        <v>3915</v>
      </c>
      <c r="E1771">
        <v>3775</v>
      </c>
      <c r="F1771">
        <v>3862.55</v>
      </c>
      <c r="G1771">
        <v>3840</v>
      </c>
      <c r="H1771">
        <v>3870.05</v>
      </c>
      <c r="I1771">
        <v>1490</v>
      </c>
      <c r="J1771">
        <v>5716012.6500000004</v>
      </c>
      <c r="K1771" s="13">
        <v>43994</v>
      </c>
      <c r="L1771">
        <v>506</v>
      </c>
      <c r="M1771" t="s">
        <v>2822</v>
      </c>
    </row>
    <row r="1772" spans="1:13" x14ac:dyDescent="0.35">
      <c r="A1772" t="s">
        <v>2823</v>
      </c>
      <c r="B1772" t="s">
        <v>18</v>
      </c>
      <c r="C1772">
        <v>237.05</v>
      </c>
      <c r="D1772">
        <v>255.05</v>
      </c>
      <c r="E1772">
        <v>225.15</v>
      </c>
      <c r="F1772">
        <v>253</v>
      </c>
      <c r="G1772">
        <v>255</v>
      </c>
      <c r="H1772">
        <v>248.15</v>
      </c>
      <c r="I1772">
        <v>5369</v>
      </c>
      <c r="J1772">
        <v>1326699.5</v>
      </c>
      <c r="K1772" s="13">
        <v>43994</v>
      </c>
      <c r="L1772">
        <v>720</v>
      </c>
      <c r="M1772" t="s">
        <v>2824</v>
      </c>
    </row>
    <row r="1773" spans="1:13" x14ac:dyDescent="0.35">
      <c r="A1773" t="s">
        <v>2825</v>
      </c>
      <c r="B1773" t="s">
        <v>18</v>
      </c>
      <c r="C1773">
        <v>381.55</v>
      </c>
      <c r="D1773">
        <v>396.8</v>
      </c>
      <c r="E1773">
        <v>377.65</v>
      </c>
      <c r="F1773">
        <v>393.65</v>
      </c>
      <c r="G1773">
        <v>395</v>
      </c>
      <c r="H1773">
        <v>395.75</v>
      </c>
      <c r="I1773">
        <v>19791</v>
      </c>
      <c r="J1773">
        <v>7632220.4500000002</v>
      </c>
      <c r="K1773" s="13">
        <v>43994</v>
      </c>
      <c r="L1773">
        <v>1238</v>
      </c>
      <c r="M1773" t="s">
        <v>2826</v>
      </c>
    </row>
    <row r="1774" spans="1:13" x14ac:dyDescent="0.35">
      <c r="A1774" t="s">
        <v>2827</v>
      </c>
      <c r="B1774" t="s">
        <v>18</v>
      </c>
      <c r="C1774">
        <v>6.2</v>
      </c>
      <c r="D1774">
        <v>6.2</v>
      </c>
      <c r="E1774">
        <v>5.6</v>
      </c>
      <c r="F1774">
        <v>5.95</v>
      </c>
      <c r="G1774">
        <v>6</v>
      </c>
      <c r="H1774">
        <v>6.2</v>
      </c>
      <c r="I1774">
        <v>17177</v>
      </c>
      <c r="J1774">
        <v>100853.95</v>
      </c>
      <c r="K1774" s="13">
        <v>43994</v>
      </c>
      <c r="L1774">
        <v>49</v>
      </c>
      <c r="M1774" t="s">
        <v>2828</v>
      </c>
    </row>
    <row r="1775" spans="1:13" x14ac:dyDescent="0.35">
      <c r="A1775" t="s">
        <v>2829</v>
      </c>
      <c r="B1775" t="s">
        <v>18</v>
      </c>
      <c r="C1775">
        <v>130</v>
      </c>
      <c r="D1775">
        <v>133.65</v>
      </c>
      <c r="E1775">
        <v>126.1</v>
      </c>
      <c r="F1775">
        <v>131.05000000000001</v>
      </c>
      <c r="G1775">
        <v>133.65</v>
      </c>
      <c r="H1775">
        <v>134.1</v>
      </c>
      <c r="I1775">
        <v>7287</v>
      </c>
      <c r="J1775">
        <v>945540.7</v>
      </c>
      <c r="K1775" s="13">
        <v>43994</v>
      </c>
      <c r="L1775">
        <v>140</v>
      </c>
      <c r="M1775" t="s">
        <v>2830</v>
      </c>
    </row>
    <row r="1776" spans="1:13" x14ac:dyDescent="0.35">
      <c r="A1776" t="s">
        <v>2831</v>
      </c>
      <c r="B1776" t="s">
        <v>18</v>
      </c>
      <c r="C1776">
        <v>22.85</v>
      </c>
      <c r="D1776">
        <v>22.95</v>
      </c>
      <c r="E1776">
        <v>19.5</v>
      </c>
      <c r="F1776">
        <v>22.75</v>
      </c>
      <c r="G1776">
        <v>22.75</v>
      </c>
      <c r="H1776">
        <v>20.9</v>
      </c>
      <c r="I1776">
        <v>2931</v>
      </c>
      <c r="J1776">
        <v>66485.649999999994</v>
      </c>
      <c r="K1776" s="13">
        <v>43994</v>
      </c>
      <c r="L1776">
        <v>29</v>
      </c>
      <c r="M1776" t="s">
        <v>2832</v>
      </c>
    </row>
    <row r="1777" spans="1:13" x14ac:dyDescent="0.35">
      <c r="A1777" t="s">
        <v>2833</v>
      </c>
      <c r="B1777" t="s">
        <v>18</v>
      </c>
      <c r="C1777">
        <v>36.6</v>
      </c>
      <c r="D1777">
        <v>40</v>
      </c>
      <c r="E1777">
        <v>35.950000000000003</v>
      </c>
      <c r="F1777">
        <v>39.549999999999997</v>
      </c>
      <c r="G1777">
        <v>39.6</v>
      </c>
      <c r="H1777">
        <v>40</v>
      </c>
      <c r="I1777">
        <v>457037</v>
      </c>
      <c r="J1777">
        <v>17537273.100000001</v>
      </c>
      <c r="K1777" s="13">
        <v>43994</v>
      </c>
      <c r="L1777">
        <v>2282</v>
      </c>
      <c r="M1777" t="s">
        <v>2834</v>
      </c>
    </row>
    <row r="1778" spans="1:13" x14ac:dyDescent="0.35">
      <c r="A1778" t="s">
        <v>2835</v>
      </c>
      <c r="B1778" t="s">
        <v>18</v>
      </c>
      <c r="C1778">
        <v>875</v>
      </c>
      <c r="D1778">
        <v>895.4</v>
      </c>
      <c r="E1778">
        <v>862</v>
      </c>
      <c r="F1778">
        <v>878.6</v>
      </c>
      <c r="G1778">
        <v>883.7</v>
      </c>
      <c r="H1778">
        <v>889.9</v>
      </c>
      <c r="I1778">
        <v>32924</v>
      </c>
      <c r="J1778">
        <v>28767867.399999999</v>
      </c>
      <c r="K1778" s="13">
        <v>43994</v>
      </c>
      <c r="L1778">
        <v>2832</v>
      </c>
      <c r="M1778" t="s">
        <v>2836</v>
      </c>
    </row>
    <row r="1779" spans="1:13" x14ac:dyDescent="0.35">
      <c r="A1779" t="s">
        <v>2837</v>
      </c>
      <c r="B1779" t="s">
        <v>18</v>
      </c>
      <c r="C1779">
        <v>104</v>
      </c>
      <c r="D1779">
        <v>109.5</v>
      </c>
      <c r="E1779">
        <v>103.6</v>
      </c>
      <c r="F1779">
        <v>107.55</v>
      </c>
      <c r="G1779">
        <v>107</v>
      </c>
      <c r="H1779">
        <v>109.3</v>
      </c>
      <c r="I1779">
        <v>287634</v>
      </c>
      <c r="J1779">
        <v>30692281.300000001</v>
      </c>
      <c r="K1779" s="13">
        <v>43994</v>
      </c>
      <c r="L1779">
        <v>5716</v>
      </c>
      <c r="M1779" t="s">
        <v>2838</v>
      </c>
    </row>
    <row r="1780" spans="1:13" x14ac:dyDescent="0.35">
      <c r="A1780" t="s">
        <v>2839</v>
      </c>
      <c r="B1780" t="s">
        <v>18</v>
      </c>
      <c r="C1780">
        <v>105.5</v>
      </c>
      <c r="D1780">
        <v>116.5</v>
      </c>
      <c r="E1780">
        <v>105.5</v>
      </c>
      <c r="F1780">
        <v>114.3</v>
      </c>
      <c r="G1780">
        <v>114.5</v>
      </c>
      <c r="H1780">
        <v>113.65</v>
      </c>
      <c r="I1780">
        <v>2234</v>
      </c>
      <c r="J1780">
        <v>251698.2</v>
      </c>
      <c r="K1780" s="13">
        <v>43994</v>
      </c>
      <c r="L1780">
        <v>128</v>
      </c>
      <c r="M1780" t="s">
        <v>2840</v>
      </c>
    </row>
    <row r="1781" spans="1:13" x14ac:dyDescent="0.35">
      <c r="A1781" t="s">
        <v>2841</v>
      </c>
      <c r="B1781" t="s">
        <v>18</v>
      </c>
      <c r="C1781">
        <v>43.55</v>
      </c>
      <c r="D1781">
        <v>46.95</v>
      </c>
      <c r="E1781">
        <v>43.4</v>
      </c>
      <c r="F1781">
        <v>46.65</v>
      </c>
      <c r="G1781">
        <v>46.7</v>
      </c>
      <c r="H1781">
        <v>46.15</v>
      </c>
      <c r="I1781">
        <v>369023</v>
      </c>
      <c r="J1781">
        <v>16755578.9</v>
      </c>
      <c r="K1781" s="13">
        <v>43994</v>
      </c>
      <c r="L1781">
        <v>2700</v>
      </c>
      <c r="M1781" t="s">
        <v>2842</v>
      </c>
    </row>
    <row r="1782" spans="1:13" x14ac:dyDescent="0.35">
      <c r="A1782" t="s">
        <v>4076</v>
      </c>
      <c r="B1782" t="s">
        <v>3381</v>
      </c>
      <c r="C1782">
        <v>28.45</v>
      </c>
      <c r="D1782">
        <v>28.45</v>
      </c>
      <c r="E1782">
        <v>28.45</v>
      </c>
      <c r="F1782">
        <v>28.45</v>
      </c>
      <c r="G1782">
        <v>28.45</v>
      </c>
      <c r="H1782">
        <v>28.7</v>
      </c>
      <c r="I1782">
        <v>3200</v>
      </c>
      <c r="J1782">
        <v>91040</v>
      </c>
      <c r="K1782" s="13">
        <v>43994</v>
      </c>
      <c r="L1782">
        <v>1</v>
      </c>
      <c r="M1782" t="s">
        <v>4077</v>
      </c>
    </row>
    <row r="1783" spans="1:13" x14ac:dyDescent="0.35">
      <c r="A1783" t="s">
        <v>2843</v>
      </c>
      <c r="B1783" t="s">
        <v>18</v>
      </c>
      <c r="C1783">
        <v>910.05</v>
      </c>
      <c r="D1783">
        <v>984.8</v>
      </c>
      <c r="E1783">
        <v>901</v>
      </c>
      <c r="F1783">
        <v>977.7</v>
      </c>
      <c r="G1783">
        <v>976.5</v>
      </c>
      <c r="H1783">
        <v>951.25</v>
      </c>
      <c r="I1783">
        <v>6968388</v>
      </c>
      <c r="J1783">
        <v>6683929697.5</v>
      </c>
      <c r="K1783" s="13">
        <v>43994</v>
      </c>
      <c r="L1783">
        <v>151751</v>
      </c>
      <c r="M1783" t="s">
        <v>2844</v>
      </c>
    </row>
    <row r="1784" spans="1:13" x14ac:dyDescent="0.35">
      <c r="A1784" t="s">
        <v>2845</v>
      </c>
      <c r="B1784" t="s">
        <v>18</v>
      </c>
      <c r="C1784">
        <v>9.4499999999999993</v>
      </c>
      <c r="D1784">
        <v>9.4499999999999993</v>
      </c>
      <c r="E1784">
        <v>9.4499999999999993</v>
      </c>
      <c r="F1784">
        <v>9.4499999999999993</v>
      </c>
      <c r="G1784">
        <v>9.4499999999999993</v>
      </c>
      <c r="H1784">
        <v>9.9</v>
      </c>
      <c r="I1784">
        <v>15614</v>
      </c>
      <c r="J1784">
        <v>147552.29999999999</v>
      </c>
      <c r="K1784" s="13">
        <v>43994</v>
      </c>
      <c r="L1784">
        <v>80</v>
      </c>
      <c r="M1784" t="s">
        <v>2846</v>
      </c>
    </row>
    <row r="1785" spans="1:13" x14ac:dyDescent="0.35">
      <c r="A1785" t="s">
        <v>2847</v>
      </c>
      <c r="B1785" t="s">
        <v>18</v>
      </c>
      <c r="C1785">
        <v>33.549999999999997</v>
      </c>
      <c r="D1785">
        <v>34.450000000000003</v>
      </c>
      <c r="E1785">
        <v>33.049999999999997</v>
      </c>
      <c r="F1785">
        <v>34.25</v>
      </c>
      <c r="G1785">
        <v>34.299999999999997</v>
      </c>
      <c r="H1785">
        <v>34.85</v>
      </c>
      <c r="I1785">
        <v>227240</v>
      </c>
      <c r="J1785">
        <v>7717603.5</v>
      </c>
      <c r="K1785" s="13">
        <v>43994</v>
      </c>
      <c r="L1785">
        <v>1051</v>
      </c>
      <c r="M1785" t="s">
        <v>2848</v>
      </c>
    </row>
    <row r="1786" spans="1:13" x14ac:dyDescent="0.35">
      <c r="A1786" t="s">
        <v>2849</v>
      </c>
      <c r="B1786" t="s">
        <v>18</v>
      </c>
      <c r="C1786">
        <v>101.7</v>
      </c>
      <c r="D1786">
        <v>110.9</v>
      </c>
      <c r="E1786">
        <v>98.55</v>
      </c>
      <c r="F1786">
        <v>109.3</v>
      </c>
      <c r="G1786">
        <v>110.05</v>
      </c>
      <c r="H1786">
        <v>105.1</v>
      </c>
      <c r="I1786">
        <v>863498</v>
      </c>
      <c r="J1786">
        <v>92010091.650000006</v>
      </c>
      <c r="K1786" s="13">
        <v>43994</v>
      </c>
      <c r="L1786">
        <v>9108</v>
      </c>
      <c r="M1786" t="s">
        <v>2850</v>
      </c>
    </row>
    <row r="1787" spans="1:13" x14ac:dyDescent="0.35">
      <c r="A1787" t="s">
        <v>4078</v>
      </c>
      <c r="B1787" t="s">
        <v>3391</v>
      </c>
      <c r="C1787">
        <v>1.45</v>
      </c>
      <c r="D1787">
        <v>1.5</v>
      </c>
      <c r="E1787">
        <v>1.45</v>
      </c>
      <c r="F1787">
        <v>1.5</v>
      </c>
      <c r="G1787">
        <v>1.5</v>
      </c>
      <c r="H1787">
        <v>1.45</v>
      </c>
      <c r="I1787">
        <v>1401</v>
      </c>
      <c r="J1787">
        <v>2101.4499999999998</v>
      </c>
      <c r="K1787" s="13">
        <v>43994</v>
      </c>
      <c r="L1787">
        <v>2</v>
      </c>
      <c r="M1787" t="s">
        <v>4079</v>
      </c>
    </row>
    <row r="1788" spans="1:13" x14ac:dyDescent="0.35">
      <c r="A1788" t="s">
        <v>2851</v>
      </c>
      <c r="B1788" t="s">
        <v>18</v>
      </c>
      <c r="C1788">
        <v>64.75</v>
      </c>
      <c r="D1788">
        <v>67.5</v>
      </c>
      <c r="E1788">
        <v>60.35</v>
      </c>
      <c r="F1788">
        <v>65</v>
      </c>
      <c r="G1788">
        <v>65.5</v>
      </c>
      <c r="H1788">
        <v>65.45</v>
      </c>
      <c r="I1788">
        <v>14184</v>
      </c>
      <c r="J1788">
        <v>906734.55</v>
      </c>
      <c r="K1788" s="13">
        <v>43994</v>
      </c>
      <c r="L1788">
        <v>287</v>
      </c>
      <c r="M1788" t="s">
        <v>2852</v>
      </c>
    </row>
    <row r="1789" spans="1:13" x14ac:dyDescent="0.35">
      <c r="A1789" t="s">
        <v>2853</v>
      </c>
      <c r="B1789" t="s">
        <v>18</v>
      </c>
      <c r="C1789">
        <v>2415</v>
      </c>
      <c r="D1789">
        <v>2498</v>
      </c>
      <c r="E1789">
        <v>2404.5</v>
      </c>
      <c r="F1789">
        <v>2485.9499999999998</v>
      </c>
      <c r="G1789">
        <v>2484</v>
      </c>
      <c r="H1789">
        <v>2447.6</v>
      </c>
      <c r="I1789">
        <v>627093</v>
      </c>
      <c r="J1789">
        <v>1546560069</v>
      </c>
      <c r="K1789" s="13">
        <v>43994</v>
      </c>
      <c r="L1789">
        <v>32461</v>
      </c>
      <c r="M1789" t="s">
        <v>2854</v>
      </c>
    </row>
    <row r="1790" spans="1:13" x14ac:dyDescent="0.35">
      <c r="A1790" t="s">
        <v>2855</v>
      </c>
      <c r="B1790" t="s">
        <v>18</v>
      </c>
      <c r="C1790">
        <v>315</v>
      </c>
      <c r="D1790">
        <v>330.65</v>
      </c>
      <c r="E1790">
        <v>314</v>
      </c>
      <c r="F1790">
        <v>328.85</v>
      </c>
      <c r="G1790">
        <v>328.5</v>
      </c>
      <c r="H1790">
        <v>325.75</v>
      </c>
      <c r="I1790">
        <v>958352</v>
      </c>
      <c r="J1790">
        <v>311727894.30000001</v>
      </c>
      <c r="K1790" s="13">
        <v>43994</v>
      </c>
      <c r="L1790">
        <v>21774</v>
      </c>
      <c r="M1790" t="s">
        <v>2856</v>
      </c>
    </row>
    <row r="1791" spans="1:13" x14ac:dyDescent="0.35">
      <c r="A1791" t="s">
        <v>4080</v>
      </c>
      <c r="B1791" t="s">
        <v>3381</v>
      </c>
      <c r="C1791">
        <v>28.5</v>
      </c>
      <c r="D1791">
        <v>28.5</v>
      </c>
      <c r="E1791">
        <v>28.45</v>
      </c>
      <c r="F1791">
        <v>28.45</v>
      </c>
      <c r="G1791">
        <v>28.45</v>
      </c>
      <c r="H1791">
        <v>27.5</v>
      </c>
      <c r="I1791">
        <v>6000</v>
      </c>
      <c r="J1791">
        <v>170850</v>
      </c>
      <c r="K1791" s="13">
        <v>43994</v>
      </c>
      <c r="L1791">
        <v>2</v>
      </c>
      <c r="M1791" t="s">
        <v>4081</v>
      </c>
    </row>
    <row r="1792" spans="1:13" x14ac:dyDescent="0.35">
      <c r="A1792" t="s">
        <v>4082</v>
      </c>
      <c r="B1792" t="s">
        <v>3391</v>
      </c>
      <c r="C1792">
        <v>50</v>
      </c>
      <c r="D1792">
        <v>50</v>
      </c>
      <c r="E1792">
        <v>46.25</v>
      </c>
      <c r="F1792">
        <v>49.25</v>
      </c>
      <c r="G1792">
        <v>46.25</v>
      </c>
      <c r="H1792">
        <v>48.65</v>
      </c>
      <c r="I1792">
        <v>4452</v>
      </c>
      <c r="J1792">
        <v>219598.05</v>
      </c>
      <c r="K1792" s="13">
        <v>43994</v>
      </c>
      <c r="L1792">
        <v>19</v>
      </c>
      <c r="M1792" t="s">
        <v>4083</v>
      </c>
    </row>
    <row r="1793" spans="1:13" x14ac:dyDescent="0.35">
      <c r="A1793" t="s">
        <v>2857</v>
      </c>
      <c r="B1793" t="s">
        <v>18</v>
      </c>
      <c r="C1793">
        <v>90.1</v>
      </c>
      <c r="D1793">
        <v>92.6</v>
      </c>
      <c r="E1793">
        <v>86.2</v>
      </c>
      <c r="F1793">
        <v>91.95</v>
      </c>
      <c r="G1793">
        <v>92</v>
      </c>
      <c r="H1793">
        <v>90.1</v>
      </c>
      <c r="I1793">
        <v>3548</v>
      </c>
      <c r="J1793">
        <v>316087.15000000002</v>
      </c>
      <c r="K1793" s="13">
        <v>43994</v>
      </c>
      <c r="L1793">
        <v>280</v>
      </c>
      <c r="M1793" t="s">
        <v>2858</v>
      </c>
    </row>
    <row r="1794" spans="1:13" x14ac:dyDescent="0.35">
      <c r="A1794" t="s">
        <v>4084</v>
      </c>
      <c r="B1794" t="s">
        <v>3381</v>
      </c>
      <c r="C1794">
        <v>5.05</v>
      </c>
      <c r="D1794">
        <v>5.55</v>
      </c>
      <c r="E1794">
        <v>5.05</v>
      </c>
      <c r="F1794">
        <v>5.55</v>
      </c>
      <c r="G1794">
        <v>5.55</v>
      </c>
      <c r="H1794">
        <v>5.3</v>
      </c>
      <c r="I1794">
        <v>40000</v>
      </c>
      <c r="J1794">
        <v>204000</v>
      </c>
      <c r="K1794" s="13">
        <v>43994</v>
      </c>
      <c r="L1794">
        <v>4</v>
      </c>
      <c r="M1794" t="s">
        <v>4085</v>
      </c>
    </row>
    <row r="1795" spans="1:13" x14ac:dyDescent="0.35">
      <c r="A1795" t="s">
        <v>2859</v>
      </c>
      <c r="B1795" t="s">
        <v>18</v>
      </c>
      <c r="C1795">
        <v>4.9000000000000004</v>
      </c>
      <c r="D1795">
        <v>5.0999999999999996</v>
      </c>
      <c r="E1795">
        <v>4.75</v>
      </c>
      <c r="F1795">
        <v>4.95</v>
      </c>
      <c r="G1795">
        <v>5.0999999999999996</v>
      </c>
      <c r="H1795">
        <v>5</v>
      </c>
      <c r="I1795">
        <v>41573</v>
      </c>
      <c r="J1795">
        <v>202389.1</v>
      </c>
      <c r="K1795" s="13">
        <v>43994</v>
      </c>
      <c r="L1795">
        <v>82</v>
      </c>
      <c r="M1795" t="s">
        <v>2860</v>
      </c>
    </row>
    <row r="1796" spans="1:13" x14ac:dyDescent="0.35">
      <c r="A1796" t="s">
        <v>2861</v>
      </c>
      <c r="B1796" t="s">
        <v>18</v>
      </c>
      <c r="C1796">
        <v>7.75</v>
      </c>
      <c r="D1796">
        <v>8.1</v>
      </c>
      <c r="E1796">
        <v>7.5</v>
      </c>
      <c r="F1796">
        <v>8.1</v>
      </c>
      <c r="G1796">
        <v>8.1</v>
      </c>
      <c r="H1796">
        <v>7.75</v>
      </c>
      <c r="I1796">
        <v>14001</v>
      </c>
      <c r="J1796">
        <v>111284.85</v>
      </c>
      <c r="K1796" s="13">
        <v>43994</v>
      </c>
      <c r="L1796">
        <v>33</v>
      </c>
      <c r="M1796" t="s">
        <v>2862</v>
      </c>
    </row>
    <row r="1797" spans="1:13" x14ac:dyDescent="0.35">
      <c r="A1797" t="s">
        <v>2863</v>
      </c>
      <c r="B1797" t="s">
        <v>18</v>
      </c>
      <c r="C1797">
        <v>500.6</v>
      </c>
      <c r="D1797">
        <v>524</v>
      </c>
      <c r="E1797">
        <v>491.1</v>
      </c>
      <c r="F1797">
        <v>516.35</v>
      </c>
      <c r="G1797">
        <v>516</v>
      </c>
      <c r="H1797">
        <v>528</v>
      </c>
      <c r="I1797">
        <v>692362</v>
      </c>
      <c r="J1797">
        <v>350890306.30000001</v>
      </c>
      <c r="K1797" s="13">
        <v>43994</v>
      </c>
      <c r="L1797">
        <v>26083</v>
      </c>
      <c r="M1797" t="s">
        <v>2864</v>
      </c>
    </row>
    <row r="1798" spans="1:13" x14ac:dyDescent="0.35">
      <c r="A1798" t="s">
        <v>2865</v>
      </c>
      <c r="B1798" t="s">
        <v>18</v>
      </c>
      <c r="C1798">
        <v>74.099999999999994</v>
      </c>
      <c r="D1798">
        <v>76</v>
      </c>
      <c r="E1798">
        <v>69.8</v>
      </c>
      <c r="F1798">
        <v>75.599999999999994</v>
      </c>
      <c r="G1798">
        <v>76</v>
      </c>
      <c r="H1798">
        <v>76</v>
      </c>
      <c r="I1798">
        <v>20204</v>
      </c>
      <c r="J1798">
        <v>1486498.25</v>
      </c>
      <c r="K1798" s="13">
        <v>43994</v>
      </c>
      <c r="L1798">
        <v>490</v>
      </c>
      <c r="M1798" t="s">
        <v>2866</v>
      </c>
    </row>
    <row r="1799" spans="1:13" x14ac:dyDescent="0.35">
      <c r="A1799" t="s">
        <v>2867</v>
      </c>
      <c r="B1799" t="s">
        <v>18</v>
      </c>
      <c r="C1799">
        <v>6.45</v>
      </c>
      <c r="D1799">
        <v>6.9</v>
      </c>
      <c r="E1799">
        <v>6.35</v>
      </c>
      <c r="F1799">
        <v>6.85</v>
      </c>
      <c r="G1799">
        <v>6.85</v>
      </c>
      <c r="H1799">
        <v>6.9</v>
      </c>
      <c r="I1799">
        <v>12638437</v>
      </c>
      <c r="J1799">
        <v>84058005.349999994</v>
      </c>
      <c r="K1799" s="13">
        <v>43994</v>
      </c>
      <c r="L1799">
        <v>16773</v>
      </c>
      <c r="M1799" t="s">
        <v>2868</v>
      </c>
    </row>
    <row r="1800" spans="1:13" x14ac:dyDescent="0.35">
      <c r="A1800" t="s">
        <v>2869</v>
      </c>
      <c r="B1800" t="s">
        <v>18</v>
      </c>
      <c r="C1800">
        <v>30.45</v>
      </c>
      <c r="D1800">
        <v>35.35</v>
      </c>
      <c r="E1800">
        <v>29</v>
      </c>
      <c r="F1800">
        <v>35.35</v>
      </c>
      <c r="G1800">
        <v>35.35</v>
      </c>
      <c r="H1800">
        <v>32.15</v>
      </c>
      <c r="I1800">
        <v>225149</v>
      </c>
      <c r="J1800">
        <v>7474585.8499999996</v>
      </c>
      <c r="K1800" s="13">
        <v>43994</v>
      </c>
      <c r="L1800">
        <v>1448</v>
      </c>
      <c r="M1800" t="s">
        <v>2870</v>
      </c>
    </row>
    <row r="1801" spans="1:13" x14ac:dyDescent="0.35">
      <c r="A1801" t="s">
        <v>2871</v>
      </c>
      <c r="B1801" t="s">
        <v>18</v>
      </c>
      <c r="C1801">
        <v>7.9</v>
      </c>
      <c r="D1801">
        <v>8.3000000000000007</v>
      </c>
      <c r="E1801">
        <v>7.7</v>
      </c>
      <c r="F1801">
        <v>7.9</v>
      </c>
      <c r="G1801">
        <v>7.7</v>
      </c>
      <c r="H1801">
        <v>8.3000000000000007</v>
      </c>
      <c r="I1801">
        <v>260679</v>
      </c>
      <c r="J1801">
        <v>2068096.9</v>
      </c>
      <c r="K1801" s="13">
        <v>43994</v>
      </c>
      <c r="L1801">
        <v>612</v>
      </c>
      <c r="M1801" t="s">
        <v>2872</v>
      </c>
    </row>
    <row r="1802" spans="1:13" x14ac:dyDescent="0.35">
      <c r="A1802" t="s">
        <v>2873</v>
      </c>
      <c r="B1802" t="s">
        <v>18</v>
      </c>
      <c r="C1802">
        <v>66</v>
      </c>
      <c r="D1802">
        <v>71</v>
      </c>
      <c r="E1802">
        <v>66</v>
      </c>
      <c r="F1802">
        <v>70.349999999999994</v>
      </c>
      <c r="G1802">
        <v>71</v>
      </c>
      <c r="H1802">
        <v>69.25</v>
      </c>
      <c r="I1802">
        <v>26897</v>
      </c>
      <c r="J1802">
        <v>1830687</v>
      </c>
      <c r="K1802" s="13">
        <v>43994</v>
      </c>
      <c r="L1802">
        <v>661</v>
      </c>
      <c r="M1802" t="s">
        <v>2874</v>
      </c>
    </row>
    <row r="1803" spans="1:13" x14ac:dyDescent="0.35">
      <c r="A1803" t="s">
        <v>2875</v>
      </c>
      <c r="B1803" t="s">
        <v>18</v>
      </c>
      <c r="C1803">
        <v>47.5</v>
      </c>
      <c r="D1803">
        <v>51.25</v>
      </c>
      <c r="E1803">
        <v>46.45</v>
      </c>
      <c r="F1803">
        <v>50.4</v>
      </c>
      <c r="G1803">
        <v>50.3</v>
      </c>
      <c r="H1803">
        <v>48.85</v>
      </c>
      <c r="I1803">
        <v>801003</v>
      </c>
      <c r="J1803">
        <v>39448338.600000001</v>
      </c>
      <c r="K1803" s="13">
        <v>43994</v>
      </c>
      <c r="L1803">
        <v>3517</v>
      </c>
      <c r="M1803" t="s">
        <v>2876</v>
      </c>
    </row>
    <row r="1804" spans="1:13" x14ac:dyDescent="0.35">
      <c r="A1804" t="s">
        <v>2877</v>
      </c>
      <c r="B1804" t="s">
        <v>18</v>
      </c>
      <c r="C1804">
        <v>428</v>
      </c>
      <c r="D1804">
        <v>439</v>
      </c>
      <c r="E1804">
        <v>428</v>
      </c>
      <c r="F1804">
        <v>436</v>
      </c>
      <c r="G1804">
        <v>438.95</v>
      </c>
      <c r="H1804">
        <v>448.65</v>
      </c>
      <c r="I1804">
        <v>1331</v>
      </c>
      <c r="J1804">
        <v>575722.65</v>
      </c>
      <c r="K1804" s="13">
        <v>43994</v>
      </c>
      <c r="L1804">
        <v>159</v>
      </c>
      <c r="M1804" t="s">
        <v>2878</v>
      </c>
    </row>
    <row r="1805" spans="1:13" x14ac:dyDescent="0.35">
      <c r="A1805" t="s">
        <v>2879</v>
      </c>
      <c r="B1805" t="s">
        <v>18</v>
      </c>
      <c r="C1805">
        <v>5111.1000000000004</v>
      </c>
      <c r="D1805">
        <v>5221.55</v>
      </c>
      <c r="E1805">
        <v>5001.05</v>
      </c>
      <c r="F1805">
        <v>5189.05</v>
      </c>
      <c r="G1805">
        <v>5150.05</v>
      </c>
      <c r="H1805">
        <v>5238</v>
      </c>
      <c r="I1805">
        <v>2398</v>
      </c>
      <c r="J1805">
        <v>12358653.6</v>
      </c>
      <c r="K1805" s="13">
        <v>43994</v>
      </c>
      <c r="L1805">
        <v>733</v>
      </c>
      <c r="M1805" t="s">
        <v>2880</v>
      </c>
    </row>
    <row r="1806" spans="1:13" x14ac:dyDescent="0.35">
      <c r="A1806" t="s">
        <v>2881</v>
      </c>
      <c r="B1806" t="s">
        <v>18</v>
      </c>
      <c r="C1806">
        <v>29</v>
      </c>
      <c r="D1806">
        <v>29.4</v>
      </c>
      <c r="E1806">
        <v>27.5</v>
      </c>
      <c r="F1806">
        <v>29.2</v>
      </c>
      <c r="G1806">
        <v>29</v>
      </c>
      <c r="H1806">
        <v>29.5</v>
      </c>
      <c r="I1806">
        <v>22754</v>
      </c>
      <c r="J1806">
        <v>650671.85</v>
      </c>
      <c r="K1806" s="13">
        <v>43994</v>
      </c>
      <c r="L1806">
        <v>290</v>
      </c>
      <c r="M1806" t="s">
        <v>2882</v>
      </c>
    </row>
    <row r="1807" spans="1:13" x14ac:dyDescent="0.35">
      <c r="A1807" t="s">
        <v>2883</v>
      </c>
      <c r="B1807" t="s">
        <v>18</v>
      </c>
      <c r="C1807">
        <v>3.35</v>
      </c>
      <c r="D1807">
        <v>3.6</v>
      </c>
      <c r="E1807">
        <v>3.3</v>
      </c>
      <c r="F1807">
        <v>3.5</v>
      </c>
      <c r="G1807">
        <v>3.6</v>
      </c>
      <c r="H1807">
        <v>3.45</v>
      </c>
      <c r="I1807">
        <v>3784297</v>
      </c>
      <c r="J1807">
        <v>12798061.4</v>
      </c>
      <c r="K1807" s="13">
        <v>43994</v>
      </c>
      <c r="L1807">
        <v>2370</v>
      </c>
      <c r="M1807" t="s">
        <v>2884</v>
      </c>
    </row>
    <row r="1808" spans="1:13" x14ac:dyDescent="0.35">
      <c r="A1808" t="s">
        <v>2885</v>
      </c>
      <c r="B1808" t="s">
        <v>18</v>
      </c>
      <c r="C1808">
        <v>25.75</v>
      </c>
      <c r="D1808">
        <v>29.95</v>
      </c>
      <c r="E1808">
        <v>25.75</v>
      </c>
      <c r="F1808">
        <v>29.45</v>
      </c>
      <c r="G1808">
        <v>29.7</v>
      </c>
      <c r="H1808">
        <v>28.2</v>
      </c>
      <c r="I1808">
        <v>11321642</v>
      </c>
      <c r="J1808">
        <v>326085574.75</v>
      </c>
      <c r="K1808" s="13">
        <v>43994</v>
      </c>
      <c r="L1808">
        <v>16883</v>
      </c>
      <c r="M1808" t="s">
        <v>2886</v>
      </c>
    </row>
    <row r="1809" spans="1:13" x14ac:dyDescent="0.35">
      <c r="A1809" t="s">
        <v>2887</v>
      </c>
      <c r="B1809" t="s">
        <v>18</v>
      </c>
      <c r="C1809">
        <v>105.65</v>
      </c>
      <c r="D1809">
        <v>105.65</v>
      </c>
      <c r="E1809">
        <v>105.65</v>
      </c>
      <c r="F1809">
        <v>105.65</v>
      </c>
      <c r="G1809">
        <v>105.65</v>
      </c>
      <c r="H1809">
        <v>111.2</v>
      </c>
      <c r="I1809">
        <v>23638</v>
      </c>
      <c r="J1809">
        <v>2497354.7000000002</v>
      </c>
      <c r="K1809" s="13">
        <v>43994</v>
      </c>
      <c r="L1809">
        <v>486</v>
      </c>
      <c r="M1809" t="s">
        <v>2888</v>
      </c>
    </row>
    <row r="1810" spans="1:13" x14ac:dyDescent="0.35">
      <c r="A1810" t="s">
        <v>2889</v>
      </c>
      <c r="B1810" t="s">
        <v>18</v>
      </c>
      <c r="C1810">
        <v>307.2</v>
      </c>
      <c r="D1810">
        <v>348.3</v>
      </c>
      <c r="E1810">
        <v>307.2</v>
      </c>
      <c r="F1810">
        <v>345.35</v>
      </c>
      <c r="G1810">
        <v>344.15</v>
      </c>
      <c r="H1810">
        <v>332.2</v>
      </c>
      <c r="I1810">
        <v>4669968</v>
      </c>
      <c r="J1810">
        <v>1555351937.8</v>
      </c>
      <c r="K1810" s="13">
        <v>43994</v>
      </c>
      <c r="L1810">
        <v>47706</v>
      </c>
      <c r="M1810" t="s">
        <v>2890</v>
      </c>
    </row>
    <row r="1811" spans="1:13" x14ac:dyDescent="0.35">
      <c r="A1811" t="s">
        <v>2891</v>
      </c>
      <c r="B1811" t="s">
        <v>18</v>
      </c>
      <c r="C1811">
        <v>1360</v>
      </c>
      <c r="D1811">
        <v>1420.95</v>
      </c>
      <c r="E1811">
        <v>1331.3</v>
      </c>
      <c r="F1811">
        <v>1394.65</v>
      </c>
      <c r="G1811">
        <v>1395</v>
      </c>
      <c r="H1811">
        <v>1374.95</v>
      </c>
      <c r="I1811">
        <v>9736</v>
      </c>
      <c r="J1811">
        <v>13396474.300000001</v>
      </c>
      <c r="K1811" s="13">
        <v>43994</v>
      </c>
      <c r="L1811">
        <v>1727</v>
      </c>
      <c r="M1811" t="s">
        <v>2892</v>
      </c>
    </row>
    <row r="1812" spans="1:13" x14ac:dyDescent="0.35">
      <c r="A1812" t="s">
        <v>2893</v>
      </c>
      <c r="B1812" t="s">
        <v>18</v>
      </c>
      <c r="C1812">
        <v>181.05</v>
      </c>
      <c r="D1812">
        <v>191.7</v>
      </c>
      <c r="E1812">
        <v>180</v>
      </c>
      <c r="F1812">
        <v>189.35</v>
      </c>
      <c r="G1812">
        <v>188.05</v>
      </c>
      <c r="H1812">
        <v>188.1</v>
      </c>
      <c r="I1812">
        <v>75923</v>
      </c>
      <c r="J1812">
        <v>14093403.9</v>
      </c>
      <c r="K1812" s="13">
        <v>43994</v>
      </c>
      <c r="L1812">
        <v>4439</v>
      </c>
      <c r="M1812" t="s">
        <v>2894</v>
      </c>
    </row>
    <row r="1813" spans="1:13" x14ac:dyDescent="0.35">
      <c r="A1813" t="s">
        <v>2895</v>
      </c>
      <c r="B1813" t="s">
        <v>18</v>
      </c>
      <c r="C1813">
        <v>1.4</v>
      </c>
      <c r="D1813">
        <v>1.45</v>
      </c>
      <c r="E1813">
        <v>1.4</v>
      </c>
      <c r="F1813">
        <v>1.4</v>
      </c>
      <c r="G1813">
        <v>1.4</v>
      </c>
      <c r="H1813">
        <v>1.4</v>
      </c>
      <c r="I1813">
        <v>44577</v>
      </c>
      <c r="J1813">
        <v>64255.95</v>
      </c>
      <c r="K1813" s="13">
        <v>43994</v>
      </c>
      <c r="L1813">
        <v>48</v>
      </c>
      <c r="M1813" t="s">
        <v>2896</v>
      </c>
    </row>
    <row r="1814" spans="1:13" x14ac:dyDescent="0.35">
      <c r="A1814" t="s">
        <v>2897</v>
      </c>
      <c r="B1814" t="s">
        <v>18</v>
      </c>
      <c r="C1814">
        <v>31.35</v>
      </c>
      <c r="D1814">
        <v>32.4</v>
      </c>
      <c r="E1814">
        <v>31.05</v>
      </c>
      <c r="F1814">
        <v>32.25</v>
      </c>
      <c r="G1814">
        <v>32.35</v>
      </c>
      <c r="H1814">
        <v>32.65</v>
      </c>
      <c r="I1814">
        <v>153046</v>
      </c>
      <c r="J1814">
        <v>4854500.8499999996</v>
      </c>
      <c r="K1814" s="13">
        <v>43994</v>
      </c>
      <c r="L1814">
        <v>926</v>
      </c>
      <c r="M1814" t="s">
        <v>2898</v>
      </c>
    </row>
    <row r="1815" spans="1:13" x14ac:dyDescent="0.35">
      <c r="A1815" t="s">
        <v>2899</v>
      </c>
      <c r="B1815" t="s">
        <v>18</v>
      </c>
      <c r="C1815">
        <v>941</v>
      </c>
      <c r="D1815">
        <v>1019.85</v>
      </c>
      <c r="E1815">
        <v>941</v>
      </c>
      <c r="F1815">
        <v>1013.6</v>
      </c>
      <c r="G1815">
        <v>1017</v>
      </c>
      <c r="H1815">
        <v>999.15</v>
      </c>
      <c r="I1815">
        <v>704188</v>
      </c>
      <c r="J1815">
        <v>705166201.20000005</v>
      </c>
      <c r="K1815" s="13">
        <v>43994</v>
      </c>
      <c r="L1815">
        <v>24382</v>
      </c>
      <c r="M1815" t="s">
        <v>2900</v>
      </c>
    </row>
    <row r="1816" spans="1:13" x14ac:dyDescent="0.35">
      <c r="A1816" t="s">
        <v>4086</v>
      </c>
      <c r="B1816" t="s">
        <v>3386</v>
      </c>
      <c r="C1816">
        <v>0.54</v>
      </c>
      <c r="D1816">
        <v>0.54</v>
      </c>
      <c r="E1816">
        <v>0.54</v>
      </c>
      <c r="F1816">
        <v>0.54</v>
      </c>
      <c r="G1816">
        <v>0.54</v>
      </c>
      <c r="H1816">
        <v>0.6</v>
      </c>
      <c r="I1816">
        <v>77021</v>
      </c>
      <c r="J1816">
        <v>41591.339999999997</v>
      </c>
      <c r="K1816" s="13">
        <v>43994</v>
      </c>
      <c r="L1816">
        <v>20</v>
      </c>
      <c r="M1816" t="s">
        <v>4087</v>
      </c>
    </row>
    <row r="1817" spans="1:13" x14ac:dyDescent="0.35">
      <c r="A1817" t="s">
        <v>2901</v>
      </c>
      <c r="B1817" t="s">
        <v>18</v>
      </c>
      <c r="C1817">
        <v>101</v>
      </c>
      <c r="D1817">
        <v>107.8</v>
      </c>
      <c r="E1817">
        <v>99.85</v>
      </c>
      <c r="F1817">
        <v>104.95</v>
      </c>
      <c r="G1817">
        <v>104.7</v>
      </c>
      <c r="H1817">
        <v>105.8</v>
      </c>
      <c r="I1817">
        <v>39625</v>
      </c>
      <c r="J1817">
        <v>4093699.3</v>
      </c>
      <c r="K1817" s="13">
        <v>43994</v>
      </c>
      <c r="L1817">
        <v>1258</v>
      </c>
      <c r="M1817" t="s">
        <v>2902</v>
      </c>
    </row>
    <row r="1818" spans="1:13" x14ac:dyDescent="0.35">
      <c r="A1818" t="s">
        <v>2903</v>
      </c>
      <c r="B1818" t="s">
        <v>18</v>
      </c>
      <c r="C1818">
        <v>12.6</v>
      </c>
      <c r="D1818">
        <v>12.95</v>
      </c>
      <c r="E1818">
        <v>12.1</v>
      </c>
      <c r="F1818">
        <v>12.85</v>
      </c>
      <c r="G1818">
        <v>12.85</v>
      </c>
      <c r="H1818">
        <v>13</v>
      </c>
      <c r="I1818">
        <v>1807249</v>
      </c>
      <c r="J1818">
        <v>22763871.699999999</v>
      </c>
      <c r="K1818" s="13">
        <v>43994</v>
      </c>
      <c r="L1818">
        <v>6447</v>
      </c>
      <c r="M1818" t="s">
        <v>2904</v>
      </c>
    </row>
    <row r="1819" spans="1:13" x14ac:dyDescent="0.35">
      <c r="A1819" t="s">
        <v>2905</v>
      </c>
      <c r="B1819" t="s">
        <v>18</v>
      </c>
      <c r="C1819">
        <v>183.1</v>
      </c>
      <c r="D1819">
        <v>184.8</v>
      </c>
      <c r="E1819">
        <v>178.3</v>
      </c>
      <c r="F1819">
        <v>183.4</v>
      </c>
      <c r="G1819">
        <v>183.5</v>
      </c>
      <c r="H1819">
        <v>185.35</v>
      </c>
      <c r="I1819">
        <v>111940</v>
      </c>
      <c r="J1819">
        <v>20344259.350000001</v>
      </c>
      <c r="K1819" s="13">
        <v>43994</v>
      </c>
      <c r="L1819">
        <v>2874</v>
      </c>
      <c r="M1819" t="s">
        <v>2906</v>
      </c>
    </row>
    <row r="1820" spans="1:13" x14ac:dyDescent="0.35">
      <c r="A1820" t="s">
        <v>2907</v>
      </c>
      <c r="B1820" t="s">
        <v>18</v>
      </c>
      <c r="C1820">
        <v>78</v>
      </c>
      <c r="D1820">
        <v>80.900000000000006</v>
      </c>
      <c r="E1820">
        <v>75.75</v>
      </c>
      <c r="F1820">
        <v>80.3</v>
      </c>
      <c r="G1820">
        <v>80.099999999999994</v>
      </c>
      <c r="H1820">
        <v>81.8</v>
      </c>
      <c r="I1820">
        <v>282805</v>
      </c>
      <c r="J1820">
        <v>22257596.649999999</v>
      </c>
      <c r="K1820" s="13">
        <v>43994</v>
      </c>
      <c r="L1820">
        <v>3218</v>
      </c>
      <c r="M1820" t="s">
        <v>2908</v>
      </c>
    </row>
    <row r="1821" spans="1:13" x14ac:dyDescent="0.35">
      <c r="A1821" t="s">
        <v>2909</v>
      </c>
      <c r="B1821" t="s">
        <v>18</v>
      </c>
      <c r="C1821">
        <v>13.95</v>
      </c>
      <c r="D1821">
        <v>14.8</v>
      </c>
      <c r="E1821">
        <v>13.7</v>
      </c>
      <c r="F1821">
        <v>14.45</v>
      </c>
      <c r="G1821">
        <v>14.45</v>
      </c>
      <c r="H1821">
        <v>14.4</v>
      </c>
      <c r="I1821">
        <v>280744</v>
      </c>
      <c r="J1821">
        <v>3975117.35</v>
      </c>
      <c r="K1821" s="13">
        <v>43994</v>
      </c>
      <c r="L1821">
        <v>1068</v>
      </c>
      <c r="M1821" t="s">
        <v>2910</v>
      </c>
    </row>
    <row r="1822" spans="1:13" x14ac:dyDescent="0.35">
      <c r="A1822" t="s">
        <v>2911</v>
      </c>
      <c r="B1822" t="s">
        <v>18</v>
      </c>
      <c r="C1822">
        <v>5.5</v>
      </c>
      <c r="D1822">
        <v>5.5</v>
      </c>
      <c r="E1822">
        <v>5</v>
      </c>
      <c r="F1822">
        <v>5.5</v>
      </c>
      <c r="G1822">
        <v>5.5</v>
      </c>
      <c r="H1822">
        <v>5.25</v>
      </c>
      <c r="I1822">
        <v>1576572</v>
      </c>
      <c r="J1822">
        <v>8428019.6999999993</v>
      </c>
      <c r="K1822" s="13">
        <v>43994</v>
      </c>
      <c r="L1822">
        <v>1981</v>
      </c>
      <c r="M1822" t="s">
        <v>2912</v>
      </c>
    </row>
    <row r="1823" spans="1:13" x14ac:dyDescent="0.35">
      <c r="A1823" t="s">
        <v>2913</v>
      </c>
      <c r="B1823" t="s">
        <v>18</v>
      </c>
      <c r="C1823">
        <v>183.2</v>
      </c>
      <c r="D1823">
        <v>207.6</v>
      </c>
      <c r="E1823">
        <v>183.2</v>
      </c>
      <c r="F1823">
        <v>204.65</v>
      </c>
      <c r="G1823">
        <v>204.7</v>
      </c>
      <c r="H1823">
        <v>199</v>
      </c>
      <c r="I1823">
        <v>9550804</v>
      </c>
      <c r="J1823">
        <v>1867839588.0999999</v>
      </c>
      <c r="K1823" s="13">
        <v>43994</v>
      </c>
      <c r="L1823">
        <v>68075</v>
      </c>
      <c r="M1823" t="s">
        <v>2914</v>
      </c>
    </row>
    <row r="1824" spans="1:13" x14ac:dyDescent="0.35">
      <c r="A1824" t="s">
        <v>2915</v>
      </c>
      <c r="B1824" t="s">
        <v>18</v>
      </c>
      <c r="C1824">
        <v>27.2</v>
      </c>
      <c r="D1824">
        <v>29.7</v>
      </c>
      <c r="E1824">
        <v>27</v>
      </c>
      <c r="F1824">
        <v>29.5</v>
      </c>
      <c r="G1824">
        <v>29.55</v>
      </c>
      <c r="H1824">
        <v>30.1</v>
      </c>
      <c r="I1824">
        <v>2343588</v>
      </c>
      <c r="J1824">
        <v>67424556.049999997</v>
      </c>
      <c r="K1824" s="13">
        <v>43994</v>
      </c>
      <c r="L1824">
        <v>8208</v>
      </c>
      <c r="M1824" t="s">
        <v>2916</v>
      </c>
    </row>
    <row r="1825" spans="1:13" x14ac:dyDescent="0.35">
      <c r="A1825" t="s">
        <v>2917</v>
      </c>
      <c r="B1825" t="s">
        <v>18</v>
      </c>
      <c r="C1825">
        <v>3600</v>
      </c>
      <c r="D1825">
        <v>3805</v>
      </c>
      <c r="E1825">
        <v>3600</v>
      </c>
      <c r="F1825">
        <v>3788.55</v>
      </c>
      <c r="G1825">
        <v>3782</v>
      </c>
      <c r="H1825">
        <v>3704.9</v>
      </c>
      <c r="I1825">
        <v>592692</v>
      </c>
      <c r="J1825">
        <v>2201178686.4000001</v>
      </c>
      <c r="K1825" s="13">
        <v>43994</v>
      </c>
      <c r="L1825">
        <v>42896</v>
      </c>
      <c r="M1825" t="s">
        <v>2918</v>
      </c>
    </row>
    <row r="1826" spans="1:13" x14ac:dyDescent="0.35">
      <c r="A1826" t="s">
        <v>2919</v>
      </c>
      <c r="B1826" t="s">
        <v>18</v>
      </c>
      <c r="C1826">
        <v>40.700000000000003</v>
      </c>
      <c r="D1826">
        <v>40.700000000000003</v>
      </c>
      <c r="E1826">
        <v>39</v>
      </c>
      <c r="F1826">
        <v>39.85</v>
      </c>
      <c r="G1826">
        <v>39.549999999999997</v>
      </c>
      <c r="H1826">
        <v>40.35</v>
      </c>
      <c r="I1826">
        <v>6037</v>
      </c>
      <c r="J1826">
        <v>240604.2</v>
      </c>
      <c r="K1826" s="13">
        <v>43994</v>
      </c>
      <c r="L1826">
        <v>117</v>
      </c>
      <c r="M1826" t="s">
        <v>2920</v>
      </c>
    </row>
    <row r="1827" spans="1:13" x14ac:dyDescent="0.35">
      <c r="A1827" t="s">
        <v>2921</v>
      </c>
      <c r="B1827" t="s">
        <v>3391</v>
      </c>
      <c r="C1827">
        <v>1.45</v>
      </c>
      <c r="D1827">
        <v>1.45</v>
      </c>
      <c r="E1827">
        <v>1.35</v>
      </c>
      <c r="F1827">
        <v>1.4</v>
      </c>
      <c r="G1827">
        <v>1.4</v>
      </c>
      <c r="H1827">
        <v>1.4</v>
      </c>
      <c r="I1827">
        <v>36662</v>
      </c>
      <c r="J1827">
        <v>50550.1</v>
      </c>
      <c r="K1827" s="13">
        <v>43994</v>
      </c>
      <c r="L1827">
        <v>21</v>
      </c>
      <c r="M1827" t="s">
        <v>2922</v>
      </c>
    </row>
    <row r="1828" spans="1:13" x14ac:dyDescent="0.35">
      <c r="A1828" t="s">
        <v>2923</v>
      </c>
      <c r="B1828" t="s">
        <v>18</v>
      </c>
      <c r="C1828">
        <v>157.1</v>
      </c>
      <c r="D1828">
        <v>164.5</v>
      </c>
      <c r="E1828">
        <v>152.30000000000001</v>
      </c>
      <c r="F1828">
        <v>162</v>
      </c>
      <c r="G1828">
        <v>161.75</v>
      </c>
      <c r="H1828">
        <v>166.2</v>
      </c>
      <c r="I1828">
        <v>236544</v>
      </c>
      <c r="J1828">
        <v>37793649.950000003</v>
      </c>
      <c r="K1828" s="13">
        <v>43994</v>
      </c>
      <c r="L1828">
        <v>3598</v>
      </c>
      <c r="M1828" t="s">
        <v>2924</v>
      </c>
    </row>
    <row r="1829" spans="1:13" x14ac:dyDescent="0.35">
      <c r="A1829" t="s">
        <v>2925</v>
      </c>
      <c r="B1829" t="s">
        <v>18</v>
      </c>
      <c r="C1829">
        <v>55.6</v>
      </c>
      <c r="D1829">
        <v>58.8</v>
      </c>
      <c r="E1829">
        <v>55.6</v>
      </c>
      <c r="F1829">
        <v>57.7</v>
      </c>
      <c r="G1829">
        <v>58.35</v>
      </c>
      <c r="H1829">
        <v>58.45</v>
      </c>
      <c r="I1829">
        <v>4313</v>
      </c>
      <c r="J1829">
        <v>244210.85</v>
      </c>
      <c r="K1829" s="13">
        <v>43994</v>
      </c>
      <c r="L1829">
        <v>123</v>
      </c>
      <c r="M1829" t="s">
        <v>2926</v>
      </c>
    </row>
    <row r="1830" spans="1:13" x14ac:dyDescent="0.35">
      <c r="A1830" t="s">
        <v>2927</v>
      </c>
      <c r="B1830" t="s">
        <v>18</v>
      </c>
      <c r="C1830">
        <v>27.55</v>
      </c>
      <c r="D1830">
        <v>28.8</v>
      </c>
      <c r="E1830">
        <v>27.1</v>
      </c>
      <c r="F1830">
        <v>28.65</v>
      </c>
      <c r="G1830">
        <v>28.65</v>
      </c>
      <c r="H1830">
        <v>28.75</v>
      </c>
      <c r="I1830">
        <v>4620494</v>
      </c>
      <c r="J1830">
        <v>129921599.05</v>
      </c>
      <c r="K1830" s="13">
        <v>43994</v>
      </c>
      <c r="L1830">
        <v>11368</v>
      </c>
      <c r="M1830" t="s">
        <v>2928</v>
      </c>
    </row>
    <row r="1831" spans="1:13" x14ac:dyDescent="0.35">
      <c r="A1831" t="s">
        <v>2929</v>
      </c>
      <c r="B1831" t="s">
        <v>18</v>
      </c>
      <c r="C1831">
        <v>5.8</v>
      </c>
      <c r="D1831">
        <v>6.1</v>
      </c>
      <c r="E1831">
        <v>5.8</v>
      </c>
      <c r="F1831">
        <v>6.05</v>
      </c>
      <c r="G1831">
        <v>6.1</v>
      </c>
      <c r="H1831">
        <v>6.1</v>
      </c>
      <c r="I1831">
        <v>700235</v>
      </c>
      <c r="J1831">
        <v>4149846.1</v>
      </c>
      <c r="K1831" s="13">
        <v>43994</v>
      </c>
      <c r="L1831">
        <v>972</v>
      </c>
      <c r="M1831" t="s">
        <v>2930</v>
      </c>
    </row>
    <row r="1832" spans="1:13" x14ac:dyDescent="0.35">
      <c r="A1832" t="s">
        <v>4088</v>
      </c>
      <c r="B1832" t="s">
        <v>3414</v>
      </c>
      <c r="C1832">
        <v>1.7</v>
      </c>
      <c r="D1832">
        <v>1.7</v>
      </c>
      <c r="E1832">
        <v>1.6</v>
      </c>
      <c r="F1832">
        <v>1.7</v>
      </c>
      <c r="G1832">
        <v>1.7</v>
      </c>
      <c r="H1832">
        <v>1.65</v>
      </c>
      <c r="I1832">
        <v>4593680</v>
      </c>
      <c r="J1832">
        <v>7533120.2000000002</v>
      </c>
      <c r="K1832" s="13">
        <v>43994</v>
      </c>
      <c r="L1832">
        <v>1393</v>
      </c>
      <c r="M1832" t="s">
        <v>4089</v>
      </c>
    </row>
    <row r="1833" spans="1:13" x14ac:dyDescent="0.35">
      <c r="A1833" t="s">
        <v>2931</v>
      </c>
      <c r="B1833" t="s">
        <v>18</v>
      </c>
      <c r="C1833">
        <v>219.95</v>
      </c>
      <c r="D1833">
        <v>238.5</v>
      </c>
      <c r="E1833">
        <v>219.05</v>
      </c>
      <c r="F1833">
        <v>226.6</v>
      </c>
      <c r="G1833">
        <v>222.3</v>
      </c>
      <c r="H1833">
        <v>230.75</v>
      </c>
      <c r="I1833">
        <v>259</v>
      </c>
      <c r="J1833">
        <v>59146.2</v>
      </c>
      <c r="K1833" s="13">
        <v>43994</v>
      </c>
      <c r="L1833">
        <v>27</v>
      </c>
      <c r="M1833" t="s">
        <v>2932</v>
      </c>
    </row>
    <row r="1834" spans="1:13" x14ac:dyDescent="0.35">
      <c r="A1834" t="s">
        <v>4090</v>
      </c>
      <c r="B1834" t="s">
        <v>3414</v>
      </c>
      <c r="C1834">
        <v>0.4</v>
      </c>
      <c r="D1834">
        <v>0.45</v>
      </c>
      <c r="E1834">
        <v>0.35</v>
      </c>
      <c r="F1834">
        <v>0.45</v>
      </c>
      <c r="G1834">
        <v>0.45</v>
      </c>
      <c r="H1834">
        <v>0.4</v>
      </c>
      <c r="I1834">
        <v>99884</v>
      </c>
      <c r="J1834">
        <v>43908.15</v>
      </c>
      <c r="K1834" s="13">
        <v>43994</v>
      </c>
      <c r="L1834">
        <v>39</v>
      </c>
      <c r="M1834" t="s">
        <v>4091</v>
      </c>
    </row>
    <row r="1835" spans="1:13" x14ac:dyDescent="0.35">
      <c r="A1835" t="s">
        <v>2933</v>
      </c>
      <c r="B1835" t="s">
        <v>18</v>
      </c>
      <c r="C1835">
        <v>109</v>
      </c>
      <c r="D1835">
        <v>112.5</v>
      </c>
      <c r="E1835">
        <v>105.2</v>
      </c>
      <c r="F1835">
        <v>110.8</v>
      </c>
      <c r="G1835">
        <v>112.5</v>
      </c>
      <c r="H1835">
        <v>112.4</v>
      </c>
      <c r="I1835">
        <v>17326</v>
      </c>
      <c r="J1835">
        <v>1890387.2</v>
      </c>
      <c r="K1835" s="13">
        <v>43994</v>
      </c>
      <c r="L1835">
        <v>505</v>
      </c>
      <c r="M1835" t="s">
        <v>2934</v>
      </c>
    </row>
    <row r="1836" spans="1:13" x14ac:dyDescent="0.35">
      <c r="A1836" t="s">
        <v>2935</v>
      </c>
      <c r="B1836" t="s">
        <v>18</v>
      </c>
      <c r="C1836">
        <v>89.4</v>
      </c>
      <c r="D1836">
        <v>92.4</v>
      </c>
      <c r="E1836">
        <v>89.05</v>
      </c>
      <c r="F1836">
        <v>90.5</v>
      </c>
      <c r="G1836">
        <v>92.3</v>
      </c>
      <c r="H1836">
        <v>92.5</v>
      </c>
      <c r="I1836">
        <v>1057</v>
      </c>
      <c r="J1836">
        <v>95595.5</v>
      </c>
      <c r="K1836" s="13">
        <v>43994</v>
      </c>
      <c r="L1836">
        <v>54</v>
      </c>
      <c r="M1836" t="s">
        <v>2936</v>
      </c>
    </row>
    <row r="1837" spans="1:13" x14ac:dyDescent="0.35">
      <c r="A1837" t="s">
        <v>2937</v>
      </c>
      <c r="B1837" t="s">
        <v>18</v>
      </c>
      <c r="C1837">
        <v>402</v>
      </c>
      <c r="D1837">
        <v>415.2</v>
      </c>
      <c r="E1837">
        <v>400.05</v>
      </c>
      <c r="F1837">
        <v>411.65</v>
      </c>
      <c r="G1837">
        <v>410.95</v>
      </c>
      <c r="H1837">
        <v>417.45</v>
      </c>
      <c r="I1837">
        <v>4995018</v>
      </c>
      <c r="J1837">
        <v>2038452466.8</v>
      </c>
      <c r="K1837" s="13">
        <v>43994</v>
      </c>
      <c r="L1837">
        <v>86526</v>
      </c>
      <c r="M1837" t="s">
        <v>2938</v>
      </c>
    </row>
    <row r="1838" spans="1:13" x14ac:dyDescent="0.35">
      <c r="A1838" t="s">
        <v>2939</v>
      </c>
      <c r="B1838" t="s">
        <v>18</v>
      </c>
      <c r="C1838">
        <v>3.9</v>
      </c>
      <c r="D1838">
        <v>3.9</v>
      </c>
      <c r="E1838">
        <v>3.6</v>
      </c>
      <c r="F1838">
        <v>3.6</v>
      </c>
      <c r="G1838">
        <v>3.6</v>
      </c>
      <c r="H1838">
        <v>3.75</v>
      </c>
      <c r="I1838">
        <v>11896037</v>
      </c>
      <c r="J1838">
        <v>43465453.850000001</v>
      </c>
      <c r="K1838" s="13">
        <v>43994</v>
      </c>
      <c r="L1838">
        <v>14226</v>
      </c>
      <c r="M1838" t="s">
        <v>2940</v>
      </c>
    </row>
    <row r="1839" spans="1:13" x14ac:dyDescent="0.35">
      <c r="A1839" t="s">
        <v>2941</v>
      </c>
      <c r="B1839" t="s">
        <v>18</v>
      </c>
      <c r="C1839">
        <v>14.4</v>
      </c>
      <c r="D1839">
        <v>14.9</v>
      </c>
      <c r="E1839">
        <v>14</v>
      </c>
      <c r="F1839">
        <v>14.8</v>
      </c>
      <c r="G1839">
        <v>14.8</v>
      </c>
      <c r="H1839">
        <v>15</v>
      </c>
      <c r="I1839">
        <v>295273</v>
      </c>
      <c r="J1839">
        <v>4302496.8</v>
      </c>
      <c r="K1839" s="13">
        <v>43994</v>
      </c>
      <c r="L1839">
        <v>761</v>
      </c>
      <c r="M1839" t="s">
        <v>2942</v>
      </c>
    </row>
    <row r="1840" spans="1:13" x14ac:dyDescent="0.35">
      <c r="A1840" t="s">
        <v>2943</v>
      </c>
      <c r="B1840" t="s">
        <v>18</v>
      </c>
      <c r="C1840">
        <v>267</v>
      </c>
      <c r="D1840">
        <v>269.45</v>
      </c>
      <c r="E1840">
        <v>241.7</v>
      </c>
      <c r="F1840">
        <v>261.95</v>
      </c>
      <c r="G1840">
        <v>261.95</v>
      </c>
      <c r="H1840">
        <v>259.75</v>
      </c>
      <c r="I1840">
        <v>552</v>
      </c>
      <c r="J1840">
        <v>141017.07999999999</v>
      </c>
      <c r="K1840" s="13">
        <v>43994</v>
      </c>
      <c r="L1840">
        <v>48</v>
      </c>
      <c r="M1840" t="s">
        <v>2944</v>
      </c>
    </row>
    <row r="1841" spans="1:13" x14ac:dyDescent="0.35">
      <c r="A1841" t="s">
        <v>2945</v>
      </c>
      <c r="B1841" t="s">
        <v>18</v>
      </c>
      <c r="C1841">
        <v>1043</v>
      </c>
      <c r="D1841">
        <v>1055.3</v>
      </c>
      <c r="E1841">
        <v>1000</v>
      </c>
      <c r="F1841">
        <v>1051.23</v>
      </c>
      <c r="G1841">
        <v>1051.1500000000001</v>
      </c>
      <c r="H1841">
        <v>1054.42</v>
      </c>
      <c r="I1841">
        <v>4971</v>
      </c>
      <c r="J1841">
        <v>5213790.78</v>
      </c>
      <c r="K1841" s="13">
        <v>43994</v>
      </c>
      <c r="L1841">
        <v>80</v>
      </c>
      <c r="M1841" t="s">
        <v>2946</v>
      </c>
    </row>
    <row r="1842" spans="1:13" x14ac:dyDescent="0.35">
      <c r="A1842" t="s">
        <v>2947</v>
      </c>
      <c r="B1842" t="s">
        <v>18</v>
      </c>
      <c r="C1842">
        <v>362</v>
      </c>
      <c r="D1842">
        <v>365</v>
      </c>
      <c r="E1842">
        <v>353.2</v>
      </c>
      <c r="F1842">
        <v>360.71</v>
      </c>
      <c r="G1842">
        <v>355</v>
      </c>
      <c r="H1842">
        <v>356.05</v>
      </c>
      <c r="I1842">
        <v>560</v>
      </c>
      <c r="J1842">
        <v>200430.87</v>
      </c>
      <c r="K1842" s="13">
        <v>43994</v>
      </c>
      <c r="L1842">
        <v>117</v>
      </c>
      <c r="M1842" t="s">
        <v>2948</v>
      </c>
    </row>
    <row r="1843" spans="1:13" x14ac:dyDescent="0.35">
      <c r="A1843" t="s">
        <v>3319</v>
      </c>
      <c r="B1843" t="s">
        <v>18</v>
      </c>
      <c r="C1843">
        <v>298.39999999999998</v>
      </c>
      <c r="D1843">
        <v>329</v>
      </c>
      <c r="E1843">
        <v>271.57</v>
      </c>
      <c r="F1843">
        <v>281.19</v>
      </c>
      <c r="G1843">
        <v>271.64999999999998</v>
      </c>
      <c r="H1843">
        <v>269.64999999999998</v>
      </c>
      <c r="I1843">
        <v>672</v>
      </c>
      <c r="J1843">
        <v>197252.26</v>
      </c>
      <c r="K1843" s="13">
        <v>43994</v>
      </c>
      <c r="L1843">
        <v>85</v>
      </c>
      <c r="M1843" t="s">
        <v>3320</v>
      </c>
    </row>
    <row r="1844" spans="1:13" x14ac:dyDescent="0.35">
      <c r="A1844" t="s">
        <v>2949</v>
      </c>
      <c r="B1844" t="s">
        <v>18</v>
      </c>
      <c r="C1844">
        <v>5.2</v>
      </c>
      <c r="D1844">
        <v>5.55</v>
      </c>
      <c r="E1844">
        <v>5.2</v>
      </c>
      <c r="F1844">
        <v>5.3</v>
      </c>
      <c r="G1844">
        <v>5.45</v>
      </c>
      <c r="H1844">
        <v>5.45</v>
      </c>
      <c r="I1844">
        <v>232907</v>
      </c>
      <c r="J1844">
        <v>1216314.7</v>
      </c>
      <c r="K1844" s="13">
        <v>43994</v>
      </c>
      <c r="L1844">
        <v>339</v>
      </c>
      <c r="M1844" t="s">
        <v>2950</v>
      </c>
    </row>
    <row r="1845" spans="1:13" x14ac:dyDescent="0.35">
      <c r="A1845" t="s">
        <v>2951</v>
      </c>
      <c r="B1845" t="s">
        <v>18</v>
      </c>
      <c r="C1845">
        <v>73.5</v>
      </c>
      <c r="D1845">
        <v>79</v>
      </c>
      <c r="E1845">
        <v>73.400000000000006</v>
      </c>
      <c r="F1845">
        <v>77.650000000000006</v>
      </c>
      <c r="G1845">
        <v>78</v>
      </c>
      <c r="H1845">
        <v>77.25</v>
      </c>
      <c r="I1845">
        <v>86696</v>
      </c>
      <c r="J1845">
        <v>6618730.8499999996</v>
      </c>
      <c r="K1845" s="13">
        <v>43994</v>
      </c>
      <c r="L1845">
        <v>1093</v>
      </c>
      <c r="M1845" t="s">
        <v>2952</v>
      </c>
    </row>
    <row r="1846" spans="1:13" x14ac:dyDescent="0.35">
      <c r="A1846" t="s">
        <v>4092</v>
      </c>
      <c r="B1846" t="s">
        <v>3391</v>
      </c>
      <c r="C1846">
        <v>0.3</v>
      </c>
      <c r="D1846">
        <v>0.3</v>
      </c>
      <c r="E1846">
        <v>0.25</v>
      </c>
      <c r="F1846">
        <v>0.3</v>
      </c>
      <c r="G1846">
        <v>0.3</v>
      </c>
      <c r="H1846">
        <v>0.3</v>
      </c>
      <c r="I1846">
        <v>14620238</v>
      </c>
      <c r="J1846">
        <v>4127950.45</v>
      </c>
      <c r="K1846" s="13">
        <v>43994</v>
      </c>
      <c r="L1846">
        <v>1809</v>
      </c>
      <c r="M1846" t="s">
        <v>4093</v>
      </c>
    </row>
    <row r="1847" spans="1:13" x14ac:dyDescent="0.35">
      <c r="A1847" t="s">
        <v>2953</v>
      </c>
      <c r="B1847" t="s">
        <v>18</v>
      </c>
      <c r="C1847">
        <v>54.15</v>
      </c>
      <c r="D1847">
        <v>57.4</v>
      </c>
      <c r="E1847">
        <v>54.15</v>
      </c>
      <c r="F1847">
        <v>56.85</v>
      </c>
      <c r="G1847">
        <v>57</v>
      </c>
      <c r="H1847">
        <v>56.95</v>
      </c>
      <c r="I1847">
        <v>60493</v>
      </c>
      <c r="J1847">
        <v>3362555.15</v>
      </c>
      <c r="K1847" s="13">
        <v>43994</v>
      </c>
      <c r="L1847">
        <v>858</v>
      </c>
      <c r="M1847" t="s">
        <v>2954</v>
      </c>
    </row>
    <row r="1848" spans="1:13" x14ac:dyDescent="0.35">
      <c r="A1848" t="s">
        <v>2955</v>
      </c>
      <c r="B1848" t="s">
        <v>18</v>
      </c>
      <c r="C1848">
        <v>530.04999999999995</v>
      </c>
      <c r="D1848">
        <v>540.1</v>
      </c>
      <c r="E1848">
        <v>523.70000000000005</v>
      </c>
      <c r="F1848">
        <v>529.4</v>
      </c>
      <c r="G1848">
        <v>529.95000000000005</v>
      </c>
      <c r="H1848">
        <v>535.15</v>
      </c>
      <c r="I1848">
        <v>2899</v>
      </c>
      <c r="J1848">
        <v>1527478.7</v>
      </c>
      <c r="K1848" s="13">
        <v>43994</v>
      </c>
      <c r="L1848">
        <v>244</v>
      </c>
      <c r="M1848" t="s">
        <v>2956</v>
      </c>
    </row>
    <row r="1849" spans="1:13" x14ac:dyDescent="0.35">
      <c r="A1849" t="s">
        <v>2957</v>
      </c>
      <c r="B1849" t="s">
        <v>18</v>
      </c>
      <c r="C1849">
        <v>1155</v>
      </c>
      <c r="D1849">
        <v>1230</v>
      </c>
      <c r="E1849">
        <v>1155</v>
      </c>
      <c r="F1849">
        <v>1208.3499999999999</v>
      </c>
      <c r="G1849">
        <v>1222.0999999999999</v>
      </c>
      <c r="H1849">
        <v>1194.5999999999999</v>
      </c>
      <c r="I1849">
        <v>21318</v>
      </c>
      <c r="J1849">
        <v>25721588.850000001</v>
      </c>
      <c r="K1849" s="13">
        <v>43994</v>
      </c>
      <c r="L1849">
        <v>1339</v>
      </c>
      <c r="M1849" t="s">
        <v>2958</v>
      </c>
    </row>
    <row r="1850" spans="1:13" x14ac:dyDescent="0.35">
      <c r="A1850" t="s">
        <v>2959</v>
      </c>
      <c r="B1850" t="s">
        <v>18</v>
      </c>
      <c r="C1850">
        <v>46.5</v>
      </c>
      <c r="D1850">
        <v>46.5</v>
      </c>
      <c r="E1850">
        <v>37</v>
      </c>
      <c r="F1850">
        <v>45.75</v>
      </c>
      <c r="G1850">
        <v>46</v>
      </c>
      <c r="H1850">
        <v>45.15</v>
      </c>
      <c r="I1850">
        <v>24738</v>
      </c>
      <c r="J1850">
        <v>1049002.2</v>
      </c>
      <c r="K1850" s="13">
        <v>43994</v>
      </c>
      <c r="L1850">
        <v>194</v>
      </c>
      <c r="M1850" t="s">
        <v>2960</v>
      </c>
    </row>
    <row r="1851" spans="1:13" x14ac:dyDescent="0.35">
      <c r="A1851" t="s">
        <v>2961</v>
      </c>
      <c r="B1851" t="s">
        <v>18</v>
      </c>
      <c r="C1851">
        <v>34.049999999999997</v>
      </c>
      <c r="D1851">
        <v>35.6</v>
      </c>
      <c r="E1851">
        <v>33.5</v>
      </c>
      <c r="F1851">
        <v>35.4</v>
      </c>
      <c r="G1851">
        <v>35.200000000000003</v>
      </c>
      <c r="H1851">
        <v>34.75</v>
      </c>
      <c r="I1851">
        <v>4996464</v>
      </c>
      <c r="J1851">
        <v>173638546.09999999</v>
      </c>
      <c r="K1851" s="13">
        <v>43994</v>
      </c>
      <c r="L1851">
        <v>7429</v>
      </c>
      <c r="M1851" t="s">
        <v>2962</v>
      </c>
    </row>
    <row r="1852" spans="1:13" x14ac:dyDescent="0.35">
      <c r="A1852" t="s">
        <v>2963</v>
      </c>
      <c r="B1852" t="s">
        <v>18</v>
      </c>
      <c r="C1852">
        <v>28.65</v>
      </c>
      <c r="D1852">
        <v>28.65</v>
      </c>
      <c r="E1852">
        <v>27</v>
      </c>
      <c r="F1852">
        <v>27.7</v>
      </c>
      <c r="G1852">
        <v>27.6</v>
      </c>
      <c r="H1852">
        <v>27.95</v>
      </c>
      <c r="I1852">
        <v>8292</v>
      </c>
      <c r="J1852">
        <v>230161.15</v>
      </c>
      <c r="K1852" s="13">
        <v>43994</v>
      </c>
      <c r="L1852">
        <v>54</v>
      </c>
      <c r="M1852" t="s">
        <v>2964</v>
      </c>
    </row>
    <row r="1853" spans="1:13" x14ac:dyDescent="0.35">
      <c r="A1853" t="s">
        <v>2965</v>
      </c>
      <c r="B1853" t="s">
        <v>18</v>
      </c>
      <c r="C1853">
        <v>4.4000000000000004</v>
      </c>
      <c r="D1853">
        <v>4.4000000000000004</v>
      </c>
      <c r="E1853">
        <v>4.4000000000000004</v>
      </c>
      <c r="F1853">
        <v>4.4000000000000004</v>
      </c>
      <c r="G1853">
        <v>4.4000000000000004</v>
      </c>
      <c r="H1853">
        <v>4.2</v>
      </c>
      <c r="I1853">
        <v>7036</v>
      </c>
      <c r="J1853">
        <v>30958.400000000001</v>
      </c>
      <c r="K1853" s="13">
        <v>43994</v>
      </c>
      <c r="L1853">
        <v>22</v>
      </c>
      <c r="M1853" t="s">
        <v>2966</v>
      </c>
    </row>
    <row r="1854" spans="1:13" x14ac:dyDescent="0.35">
      <c r="A1854" t="s">
        <v>2967</v>
      </c>
      <c r="B1854" t="s">
        <v>18</v>
      </c>
      <c r="C1854">
        <v>153.6</v>
      </c>
      <c r="D1854">
        <v>162</v>
      </c>
      <c r="E1854">
        <v>153.6</v>
      </c>
      <c r="F1854">
        <v>160.80000000000001</v>
      </c>
      <c r="G1854">
        <v>159.94999999999999</v>
      </c>
      <c r="H1854">
        <v>161.65</v>
      </c>
      <c r="I1854">
        <v>314178</v>
      </c>
      <c r="J1854">
        <v>49252204.600000001</v>
      </c>
      <c r="K1854" s="13">
        <v>43994</v>
      </c>
      <c r="L1854">
        <v>5068</v>
      </c>
      <c r="M1854" t="s">
        <v>2968</v>
      </c>
    </row>
    <row r="1855" spans="1:13" x14ac:dyDescent="0.35">
      <c r="A1855" t="s">
        <v>2969</v>
      </c>
      <c r="B1855" t="s">
        <v>18</v>
      </c>
      <c r="C1855">
        <v>9.8000000000000007</v>
      </c>
      <c r="D1855">
        <v>10</v>
      </c>
      <c r="E1855">
        <v>9.0500000000000007</v>
      </c>
      <c r="F1855">
        <v>9.4</v>
      </c>
      <c r="G1855">
        <v>9.3000000000000007</v>
      </c>
      <c r="H1855">
        <v>10</v>
      </c>
      <c r="I1855">
        <v>405260</v>
      </c>
      <c r="J1855">
        <v>3806549.15</v>
      </c>
      <c r="K1855" s="13">
        <v>43994</v>
      </c>
      <c r="L1855">
        <v>1006</v>
      </c>
      <c r="M1855" t="s">
        <v>2970</v>
      </c>
    </row>
    <row r="1856" spans="1:13" x14ac:dyDescent="0.35">
      <c r="A1856" t="s">
        <v>2971</v>
      </c>
      <c r="B1856" t="s">
        <v>18</v>
      </c>
      <c r="C1856">
        <v>4.45</v>
      </c>
      <c r="D1856">
        <v>4.45</v>
      </c>
      <c r="E1856">
        <v>4.0999999999999996</v>
      </c>
      <c r="F1856">
        <v>4.45</v>
      </c>
      <c r="G1856">
        <v>4.45</v>
      </c>
      <c r="H1856">
        <v>4.25</v>
      </c>
      <c r="I1856">
        <v>9710</v>
      </c>
      <c r="J1856">
        <v>42790.8</v>
      </c>
      <c r="K1856" s="13">
        <v>43994</v>
      </c>
      <c r="L1856">
        <v>18</v>
      </c>
      <c r="M1856" t="s">
        <v>2972</v>
      </c>
    </row>
    <row r="1857" spans="1:13" x14ac:dyDescent="0.35">
      <c r="A1857" t="s">
        <v>2973</v>
      </c>
      <c r="B1857" t="s">
        <v>18</v>
      </c>
      <c r="C1857">
        <v>586</v>
      </c>
      <c r="D1857">
        <v>641.9</v>
      </c>
      <c r="E1857">
        <v>586</v>
      </c>
      <c r="F1857">
        <v>631.85</v>
      </c>
      <c r="G1857">
        <v>632</v>
      </c>
      <c r="H1857">
        <v>620.15</v>
      </c>
      <c r="I1857">
        <v>268771</v>
      </c>
      <c r="J1857">
        <v>168022330.5</v>
      </c>
      <c r="K1857" s="13">
        <v>43994</v>
      </c>
      <c r="L1857">
        <v>12872</v>
      </c>
      <c r="M1857" t="s">
        <v>2974</v>
      </c>
    </row>
    <row r="1858" spans="1:13" x14ac:dyDescent="0.35">
      <c r="A1858" t="s">
        <v>2975</v>
      </c>
      <c r="B1858" t="s">
        <v>18</v>
      </c>
      <c r="C1858">
        <v>96.9</v>
      </c>
      <c r="D1858">
        <v>103.95</v>
      </c>
      <c r="E1858">
        <v>96.9</v>
      </c>
      <c r="F1858">
        <v>103.3</v>
      </c>
      <c r="G1858">
        <v>102.5</v>
      </c>
      <c r="H1858">
        <v>101.05</v>
      </c>
      <c r="I1858">
        <v>33223448</v>
      </c>
      <c r="J1858">
        <v>3387511138.9000001</v>
      </c>
      <c r="K1858" s="13">
        <v>43994</v>
      </c>
      <c r="L1858">
        <v>124274</v>
      </c>
      <c r="M1858" t="s">
        <v>2976</v>
      </c>
    </row>
    <row r="1859" spans="1:13" x14ac:dyDescent="0.35">
      <c r="A1859" t="s">
        <v>2977</v>
      </c>
      <c r="B1859" t="s">
        <v>18</v>
      </c>
      <c r="C1859">
        <v>1090.3</v>
      </c>
      <c r="D1859">
        <v>1163.6500000000001</v>
      </c>
      <c r="E1859">
        <v>1090.3</v>
      </c>
      <c r="F1859">
        <v>1152.6500000000001</v>
      </c>
      <c r="G1859">
        <v>1155.05</v>
      </c>
      <c r="H1859">
        <v>1192.7</v>
      </c>
      <c r="I1859">
        <v>160762</v>
      </c>
      <c r="J1859">
        <v>182607726.90000001</v>
      </c>
      <c r="K1859" s="13">
        <v>43994</v>
      </c>
      <c r="L1859">
        <v>14464</v>
      </c>
      <c r="M1859" t="s">
        <v>2978</v>
      </c>
    </row>
    <row r="1860" spans="1:13" x14ac:dyDescent="0.35">
      <c r="A1860" t="s">
        <v>4094</v>
      </c>
      <c r="B1860" t="s">
        <v>3391</v>
      </c>
      <c r="C1860">
        <v>55.5</v>
      </c>
      <c r="D1860">
        <v>59.9</v>
      </c>
      <c r="E1860">
        <v>55.5</v>
      </c>
      <c r="F1860">
        <v>58.15</v>
      </c>
      <c r="G1860">
        <v>58.1</v>
      </c>
      <c r="H1860">
        <v>58.25</v>
      </c>
      <c r="I1860">
        <v>11841</v>
      </c>
      <c r="J1860">
        <v>685421.1</v>
      </c>
      <c r="K1860" s="13">
        <v>43994</v>
      </c>
      <c r="L1860">
        <v>149</v>
      </c>
      <c r="M1860" t="s">
        <v>4095</v>
      </c>
    </row>
    <row r="1861" spans="1:13" x14ac:dyDescent="0.35">
      <c r="A1861" t="s">
        <v>2979</v>
      </c>
      <c r="B1861" t="s">
        <v>18</v>
      </c>
      <c r="C1861">
        <v>84.4</v>
      </c>
      <c r="D1861">
        <v>84.4</v>
      </c>
      <c r="E1861">
        <v>70.25</v>
      </c>
      <c r="F1861">
        <v>79.45</v>
      </c>
      <c r="G1861">
        <v>75.05</v>
      </c>
      <c r="H1861">
        <v>76.75</v>
      </c>
      <c r="I1861">
        <v>77550</v>
      </c>
      <c r="J1861">
        <v>6437877.2999999998</v>
      </c>
      <c r="K1861" s="13">
        <v>43994</v>
      </c>
      <c r="L1861">
        <v>583</v>
      </c>
      <c r="M1861" t="s">
        <v>2980</v>
      </c>
    </row>
    <row r="1862" spans="1:13" x14ac:dyDescent="0.35">
      <c r="A1862" t="s">
        <v>2981</v>
      </c>
      <c r="B1862" t="s">
        <v>18</v>
      </c>
      <c r="C1862">
        <v>847.85</v>
      </c>
      <c r="D1862">
        <v>855</v>
      </c>
      <c r="E1862">
        <v>838</v>
      </c>
      <c r="F1862">
        <v>852.05</v>
      </c>
      <c r="G1862">
        <v>855</v>
      </c>
      <c r="H1862">
        <v>855.7</v>
      </c>
      <c r="I1862">
        <v>2480</v>
      </c>
      <c r="J1862">
        <v>2096259.9</v>
      </c>
      <c r="K1862" s="13">
        <v>43994</v>
      </c>
      <c r="L1862">
        <v>274</v>
      </c>
      <c r="M1862" t="s">
        <v>2982</v>
      </c>
    </row>
    <row r="1863" spans="1:13" x14ac:dyDescent="0.35">
      <c r="A1863" t="s">
        <v>2983</v>
      </c>
      <c r="B1863" t="s">
        <v>18</v>
      </c>
      <c r="C1863">
        <v>34.15</v>
      </c>
      <c r="D1863">
        <v>38.950000000000003</v>
      </c>
      <c r="E1863">
        <v>32.4</v>
      </c>
      <c r="F1863">
        <v>38.950000000000003</v>
      </c>
      <c r="G1863">
        <v>38.950000000000003</v>
      </c>
      <c r="H1863">
        <v>35.450000000000003</v>
      </c>
      <c r="I1863">
        <v>60029</v>
      </c>
      <c r="J1863">
        <v>2247499.35</v>
      </c>
      <c r="K1863" s="13">
        <v>43994</v>
      </c>
      <c r="L1863">
        <v>575</v>
      </c>
      <c r="M1863" t="s">
        <v>2984</v>
      </c>
    </row>
    <row r="1864" spans="1:13" x14ac:dyDescent="0.35">
      <c r="A1864" t="s">
        <v>2985</v>
      </c>
      <c r="B1864" t="s">
        <v>18</v>
      </c>
      <c r="C1864">
        <v>170.1</v>
      </c>
      <c r="D1864">
        <v>177.1</v>
      </c>
      <c r="E1864">
        <v>170.1</v>
      </c>
      <c r="F1864">
        <v>176.55</v>
      </c>
      <c r="G1864">
        <v>175.3</v>
      </c>
      <c r="H1864">
        <v>177.95</v>
      </c>
      <c r="I1864">
        <v>252588</v>
      </c>
      <c r="J1864">
        <v>44266457.200000003</v>
      </c>
      <c r="K1864" s="13">
        <v>43994</v>
      </c>
      <c r="L1864">
        <v>3994</v>
      </c>
      <c r="M1864" t="s">
        <v>2986</v>
      </c>
    </row>
    <row r="1865" spans="1:13" x14ac:dyDescent="0.35">
      <c r="A1865" t="s">
        <v>2987</v>
      </c>
      <c r="B1865" t="s">
        <v>18</v>
      </c>
      <c r="C1865">
        <v>1080.45</v>
      </c>
      <c r="D1865">
        <v>1108</v>
      </c>
      <c r="E1865">
        <v>1023.9</v>
      </c>
      <c r="F1865">
        <v>1094.75</v>
      </c>
      <c r="G1865">
        <v>1106</v>
      </c>
      <c r="H1865">
        <v>1092.2</v>
      </c>
      <c r="I1865">
        <v>503</v>
      </c>
      <c r="J1865">
        <v>526582</v>
      </c>
      <c r="K1865" s="13">
        <v>43994</v>
      </c>
      <c r="L1865">
        <v>93</v>
      </c>
      <c r="M1865" t="s">
        <v>2988</v>
      </c>
    </row>
    <row r="1866" spans="1:13" x14ac:dyDescent="0.35">
      <c r="A1866" t="s">
        <v>4096</v>
      </c>
      <c r="B1866" t="s">
        <v>3391</v>
      </c>
      <c r="C1866">
        <v>2.2000000000000002</v>
      </c>
      <c r="D1866">
        <v>2.2000000000000002</v>
      </c>
      <c r="E1866">
        <v>2.2000000000000002</v>
      </c>
      <c r="F1866">
        <v>2.2000000000000002</v>
      </c>
      <c r="G1866">
        <v>2.2000000000000002</v>
      </c>
      <c r="H1866">
        <v>2.1</v>
      </c>
      <c r="I1866">
        <v>50348</v>
      </c>
      <c r="J1866">
        <v>110765.6</v>
      </c>
      <c r="K1866" s="13">
        <v>43994</v>
      </c>
      <c r="L1866">
        <v>60</v>
      </c>
      <c r="M1866" t="s">
        <v>4097</v>
      </c>
    </row>
    <row r="1867" spans="1:13" x14ac:dyDescent="0.35">
      <c r="A1867" t="s">
        <v>4098</v>
      </c>
      <c r="B1867" t="s">
        <v>3414</v>
      </c>
      <c r="C1867">
        <v>1.55</v>
      </c>
      <c r="D1867">
        <v>1.55</v>
      </c>
      <c r="E1867">
        <v>1.55</v>
      </c>
      <c r="F1867">
        <v>1.55</v>
      </c>
      <c r="G1867">
        <v>1.55</v>
      </c>
      <c r="H1867">
        <v>1.5</v>
      </c>
      <c r="I1867">
        <v>821441</v>
      </c>
      <c r="J1867">
        <v>1273233.55</v>
      </c>
      <c r="K1867" s="13">
        <v>43994</v>
      </c>
      <c r="L1867">
        <v>325</v>
      </c>
      <c r="M1867" t="s">
        <v>4099</v>
      </c>
    </row>
    <row r="1868" spans="1:13" x14ac:dyDescent="0.35">
      <c r="A1868" t="s">
        <v>2989</v>
      </c>
      <c r="B1868" t="s">
        <v>18</v>
      </c>
      <c r="C1868">
        <v>61.5</v>
      </c>
      <c r="D1868">
        <v>61.5</v>
      </c>
      <c r="E1868">
        <v>58.25</v>
      </c>
      <c r="F1868">
        <v>59.7</v>
      </c>
      <c r="G1868">
        <v>59.6</v>
      </c>
      <c r="H1868">
        <v>60.3</v>
      </c>
      <c r="I1868">
        <v>13301</v>
      </c>
      <c r="J1868">
        <v>795978.55</v>
      </c>
      <c r="K1868" s="13">
        <v>43994</v>
      </c>
      <c r="L1868">
        <v>202</v>
      </c>
      <c r="M1868" t="s">
        <v>2990</v>
      </c>
    </row>
    <row r="1869" spans="1:13" x14ac:dyDescent="0.35">
      <c r="A1869" t="s">
        <v>2991</v>
      </c>
      <c r="B1869" t="s">
        <v>18</v>
      </c>
      <c r="C1869">
        <v>0.45</v>
      </c>
      <c r="D1869">
        <v>0.45</v>
      </c>
      <c r="E1869">
        <v>0.35</v>
      </c>
      <c r="F1869">
        <v>0.45</v>
      </c>
      <c r="G1869">
        <v>0.45</v>
      </c>
      <c r="H1869">
        <v>0.4</v>
      </c>
      <c r="I1869">
        <v>264191</v>
      </c>
      <c r="J1869">
        <v>113049.3</v>
      </c>
      <c r="K1869" s="13">
        <v>43994</v>
      </c>
      <c r="L1869">
        <v>101</v>
      </c>
      <c r="M1869" t="s">
        <v>2992</v>
      </c>
    </row>
    <row r="1870" spans="1:13" x14ac:dyDescent="0.35">
      <c r="A1870" t="s">
        <v>2993</v>
      </c>
      <c r="B1870" t="s">
        <v>18</v>
      </c>
      <c r="C1870">
        <v>5.55</v>
      </c>
      <c r="D1870">
        <v>5.55</v>
      </c>
      <c r="E1870">
        <v>5.05</v>
      </c>
      <c r="F1870">
        <v>5.05</v>
      </c>
      <c r="G1870">
        <v>5.05</v>
      </c>
      <c r="H1870">
        <v>5.3</v>
      </c>
      <c r="I1870">
        <v>1781235</v>
      </c>
      <c r="J1870">
        <v>9131856.4499999993</v>
      </c>
      <c r="K1870" s="13">
        <v>43994</v>
      </c>
      <c r="L1870">
        <v>1591</v>
      </c>
      <c r="M1870" t="s">
        <v>2994</v>
      </c>
    </row>
    <row r="1871" spans="1:13" x14ac:dyDescent="0.35">
      <c r="A1871" t="s">
        <v>4100</v>
      </c>
      <c r="B1871" t="s">
        <v>3391</v>
      </c>
      <c r="C1871">
        <v>3.5</v>
      </c>
      <c r="D1871">
        <v>3.5</v>
      </c>
      <c r="E1871">
        <v>3.35</v>
      </c>
      <c r="F1871">
        <v>3.5</v>
      </c>
      <c r="G1871">
        <v>3.5</v>
      </c>
      <c r="H1871">
        <v>3.35</v>
      </c>
      <c r="I1871">
        <v>3843306</v>
      </c>
      <c r="J1871">
        <v>13444194.550000001</v>
      </c>
      <c r="K1871" s="13">
        <v>43994</v>
      </c>
      <c r="L1871">
        <v>298</v>
      </c>
      <c r="M1871" t="s">
        <v>4101</v>
      </c>
    </row>
    <row r="1872" spans="1:13" x14ac:dyDescent="0.35">
      <c r="A1872" t="s">
        <v>2995</v>
      </c>
      <c r="B1872" t="s">
        <v>18</v>
      </c>
      <c r="C1872">
        <v>3.95</v>
      </c>
      <c r="D1872">
        <v>4.05</v>
      </c>
      <c r="E1872">
        <v>3.95</v>
      </c>
      <c r="F1872">
        <v>4.05</v>
      </c>
      <c r="G1872">
        <v>4.05</v>
      </c>
      <c r="H1872">
        <v>4</v>
      </c>
      <c r="I1872">
        <v>7382171</v>
      </c>
      <c r="J1872">
        <v>29453140.449999999</v>
      </c>
      <c r="K1872" s="13">
        <v>43994</v>
      </c>
      <c r="L1872">
        <v>4842</v>
      </c>
      <c r="M1872" t="s">
        <v>2996</v>
      </c>
    </row>
    <row r="1873" spans="1:13" x14ac:dyDescent="0.35">
      <c r="A1873" t="s">
        <v>2997</v>
      </c>
      <c r="B1873" t="s">
        <v>18</v>
      </c>
      <c r="C1873">
        <v>6.65</v>
      </c>
      <c r="D1873">
        <v>6.65</v>
      </c>
      <c r="E1873">
        <v>6.65</v>
      </c>
      <c r="F1873">
        <v>6.65</v>
      </c>
      <c r="G1873">
        <v>6.65</v>
      </c>
      <c r="H1873">
        <v>7</v>
      </c>
      <c r="I1873">
        <v>115793</v>
      </c>
      <c r="J1873">
        <v>770023.45</v>
      </c>
      <c r="K1873" s="13">
        <v>43994</v>
      </c>
      <c r="L1873">
        <v>171</v>
      </c>
      <c r="M1873" t="s">
        <v>2998</v>
      </c>
    </row>
    <row r="1874" spans="1:13" x14ac:dyDescent="0.35">
      <c r="A1874" t="s">
        <v>2999</v>
      </c>
      <c r="B1874" t="s">
        <v>18</v>
      </c>
      <c r="C1874">
        <v>92</v>
      </c>
      <c r="D1874">
        <v>95</v>
      </c>
      <c r="E1874">
        <v>88.15</v>
      </c>
      <c r="F1874">
        <v>93.35</v>
      </c>
      <c r="G1874">
        <v>93.5</v>
      </c>
      <c r="H1874">
        <v>97.95</v>
      </c>
      <c r="I1874">
        <v>171049</v>
      </c>
      <c r="J1874">
        <v>15916198.85</v>
      </c>
      <c r="K1874" s="13">
        <v>43994</v>
      </c>
      <c r="L1874">
        <v>2656</v>
      </c>
      <c r="M1874" t="s">
        <v>3000</v>
      </c>
    </row>
    <row r="1875" spans="1:13" x14ac:dyDescent="0.35">
      <c r="A1875" t="s">
        <v>3001</v>
      </c>
      <c r="B1875" t="s">
        <v>18</v>
      </c>
      <c r="C1875">
        <v>1000</v>
      </c>
      <c r="D1875">
        <v>1034.8</v>
      </c>
      <c r="E1875">
        <v>987.85</v>
      </c>
      <c r="F1875">
        <v>1027.2</v>
      </c>
      <c r="G1875">
        <v>1023</v>
      </c>
      <c r="H1875">
        <v>1029.1500000000001</v>
      </c>
      <c r="I1875">
        <v>112093</v>
      </c>
      <c r="J1875">
        <v>113774341.75</v>
      </c>
      <c r="K1875" s="13">
        <v>43994</v>
      </c>
      <c r="L1875">
        <v>6463</v>
      </c>
      <c r="M1875" t="s">
        <v>3002</v>
      </c>
    </row>
    <row r="1876" spans="1:13" x14ac:dyDescent="0.35">
      <c r="A1876" t="s">
        <v>3003</v>
      </c>
      <c r="B1876" t="s">
        <v>18</v>
      </c>
      <c r="C1876">
        <v>601</v>
      </c>
      <c r="D1876">
        <v>643</v>
      </c>
      <c r="E1876">
        <v>601</v>
      </c>
      <c r="F1876">
        <v>639.15</v>
      </c>
      <c r="G1876">
        <v>635</v>
      </c>
      <c r="H1876">
        <v>629.85</v>
      </c>
      <c r="I1876">
        <v>9053</v>
      </c>
      <c r="J1876">
        <v>5643884.4000000004</v>
      </c>
      <c r="K1876" s="13">
        <v>43994</v>
      </c>
      <c r="L1876">
        <v>791</v>
      </c>
      <c r="M1876" t="s">
        <v>3004</v>
      </c>
    </row>
    <row r="1877" spans="1:13" x14ac:dyDescent="0.35">
      <c r="A1877" t="s">
        <v>3005</v>
      </c>
      <c r="B1877" t="s">
        <v>18</v>
      </c>
      <c r="C1877">
        <v>92</v>
      </c>
      <c r="D1877">
        <v>96.8</v>
      </c>
      <c r="E1877">
        <v>91</v>
      </c>
      <c r="F1877">
        <v>96.2</v>
      </c>
      <c r="G1877">
        <v>96.5</v>
      </c>
      <c r="H1877">
        <v>96.1</v>
      </c>
      <c r="I1877">
        <v>107399</v>
      </c>
      <c r="J1877">
        <v>10076702.550000001</v>
      </c>
      <c r="K1877" s="13">
        <v>43994</v>
      </c>
      <c r="L1877">
        <v>2789</v>
      </c>
      <c r="M1877" t="s">
        <v>3006</v>
      </c>
    </row>
    <row r="1878" spans="1:13" x14ac:dyDescent="0.35">
      <c r="A1878" t="s">
        <v>3007</v>
      </c>
      <c r="B1878" t="s">
        <v>18</v>
      </c>
      <c r="C1878">
        <v>7.5</v>
      </c>
      <c r="D1878">
        <v>7.8</v>
      </c>
      <c r="E1878">
        <v>7.2</v>
      </c>
      <c r="F1878">
        <v>7.55</v>
      </c>
      <c r="G1878">
        <v>7.35</v>
      </c>
      <c r="H1878">
        <v>7.55</v>
      </c>
      <c r="I1878">
        <v>97981</v>
      </c>
      <c r="J1878">
        <v>715086.15</v>
      </c>
      <c r="K1878" s="13">
        <v>43994</v>
      </c>
      <c r="L1878">
        <v>342</v>
      </c>
      <c r="M1878" t="s">
        <v>3008</v>
      </c>
    </row>
    <row r="1879" spans="1:13" x14ac:dyDescent="0.35">
      <c r="A1879" t="s">
        <v>3009</v>
      </c>
      <c r="B1879" t="s">
        <v>18</v>
      </c>
      <c r="C1879">
        <v>236.3</v>
      </c>
      <c r="D1879">
        <v>252.2</v>
      </c>
      <c r="E1879">
        <v>236.3</v>
      </c>
      <c r="F1879">
        <v>249.4</v>
      </c>
      <c r="G1879">
        <v>250.9</v>
      </c>
      <c r="H1879">
        <v>252.25</v>
      </c>
      <c r="I1879">
        <v>826423</v>
      </c>
      <c r="J1879">
        <v>202147977.69999999</v>
      </c>
      <c r="K1879" s="13">
        <v>43994</v>
      </c>
      <c r="L1879">
        <v>20345</v>
      </c>
      <c r="M1879" t="s">
        <v>3010</v>
      </c>
    </row>
    <row r="1880" spans="1:13" x14ac:dyDescent="0.35">
      <c r="A1880" t="s">
        <v>3011</v>
      </c>
      <c r="B1880" t="s">
        <v>18</v>
      </c>
      <c r="C1880">
        <v>14.8</v>
      </c>
      <c r="D1880">
        <v>15.15</v>
      </c>
      <c r="E1880">
        <v>14.45</v>
      </c>
      <c r="F1880">
        <v>14.95</v>
      </c>
      <c r="G1880">
        <v>14.85</v>
      </c>
      <c r="H1880">
        <v>14.8</v>
      </c>
      <c r="I1880">
        <v>4407</v>
      </c>
      <c r="J1880">
        <v>65826.8</v>
      </c>
      <c r="K1880" s="13">
        <v>43994</v>
      </c>
      <c r="L1880">
        <v>31</v>
      </c>
      <c r="M1880" t="s">
        <v>3012</v>
      </c>
    </row>
    <row r="1881" spans="1:13" x14ac:dyDescent="0.35">
      <c r="A1881" t="s">
        <v>3013</v>
      </c>
      <c r="B1881" t="s">
        <v>18</v>
      </c>
      <c r="C1881">
        <v>202</v>
      </c>
      <c r="D1881">
        <v>226.5</v>
      </c>
      <c r="E1881">
        <v>199.25</v>
      </c>
      <c r="F1881">
        <v>224.55</v>
      </c>
      <c r="G1881">
        <v>225.1</v>
      </c>
      <c r="H1881">
        <v>213.45</v>
      </c>
      <c r="I1881">
        <v>79110</v>
      </c>
      <c r="J1881">
        <v>16987726.899999999</v>
      </c>
      <c r="K1881" s="13">
        <v>43994</v>
      </c>
      <c r="L1881">
        <v>2088</v>
      </c>
      <c r="M1881" t="s">
        <v>3014</v>
      </c>
    </row>
    <row r="1882" spans="1:13" x14ac:dyDescent="0.35">
      <c r="A1882" t="s">
        <v>3015</v>
      </c>
      <c r="B1882" t="s">
        <v>18</v>
      </c>
      <c r="C1882">
        <v>4.5999999999999996</v>
      </c>
      <c r="D1882">
        <v>5</v>
      </c>
      <c r="E1882">
        <v>4.5999999999999996</v>
      </c>
      <c r="F1882">
        <v>4.6500000000000004</v>
      </c>
      <c r="G1882">
        <v>4.5999999999999996</v>
      </c>
      <c r="H1882">
        <v>4.8</v>
      </c>
      <c r="I1882">
        <v>15194</v>
      </c>
      <c r="J1882">
        <v>71506.350000000006</v>
      </c>
      <c r="K1882" s="13">
        <v>43994</v>
      </c>
      <c r="L1882">
        <v>55</v>
      </c>
      <c r="M1882" t="s">
        <v>3016</v>
      </c>
    </row>
    <row r="1883" spans="1:13" x14ac:dyDescent="0.35">
      <c r="A1883" t="s">
        <v>4102</v>
      </c>
      <c r="B1883" t="s">
        <v>3391</v>
      </c>
      <c r="C1883">
        <v>242</v>
      </c>
      <c r="D1883">
        <v>254</v>
      </c>
      <c r="E1883">
        <v>242</v>
      </c>
      <c r="F1883">
        <v>254</v>
      </c>
      <c r="G1883">
        <v>254</v>
      </c>
      <c r="H1883">
        <v>242</v>
      </c>
      <c r="I1883">
        <v>2522</v>
      </c>
      <c r="J1883">
        <v>640531</v>
      </c>
      <c r="K1883" s="13">
        <v>43994</v>
      </c>
      <c r="L1883">
        <v>11</v>
      </c>
      <c r="M1883" t="s">
        <v>4103</v>
      </c>
    </row>
    <row r="1884" spans="1:13" x14ac:dyDescent="0.35">
      <c r="A1884" t="s">
        <v>3017</v>
      </c>
      <c r="B1884" t="s">
        <v>18</v>
      </c>
      <c r="C1884">
        <v>122.8</v>
      </c>
      <c r="D1884">
        <v>128</v>
      </c>
      <c r="E1884">
        <v>118.1</v>
      </c>
      <c r="F1884">
        <v>124.75</v>
      </c>
      <c r="G1884">
        <v>126</v>
      </c>
      <c r="H1884">
        <v>123.5</v>
      </c>
      <c r="I1884">
        <v>8390</v>
      </c>
      <c r="J1884">
        <v>1030814.7</v>
      </c>
      <c r="K1884" s="13">
        <v>43994</v>
      </c>
      <c r="L1884">
        <v>291</v>
      </c>
      <c r="M1884" t="s">
        <v>3018</v>
      </c>
    </row>
    <row r="1885" spans="1:13" x14ac:dyDescent="0.35">
      <c r="A1885" t="s">
        <v>3019</v>
      </c>
      <c r="B1885" t="s">
        <v>18</v>
      </c>
      <c r="C1885">
        <v>71.95</v>
      </c>
      <c r="D1885">
        <v>79</v>
      </c>
      <c r="E1885">
        <v>71.95</v>
      </c>
      <c r="F1885">
        <v>77.150000000000006</v>
      </c>
      <c r="G1885">
        <v>77.45</v>
      </c>
      <c r="H1885">
        <v>79.849999999999994</v>
      </c>
      <c r="I1885">
        <v>19063</v>
      </c>
      <c r="J1885">
        <v>1446018.95</v>
      </c>
      <c r="K1885" s="13">
        <v>43994</v>
      </c>
      <c r="L1885">
        <v>711</v>
      </c>
      <c r="M1885" t="s">
        <v>3020</v>
      </c>
    </row>
    <row r="1886" spans="1:13" x14ac:dyDescent="0.35">
      <c r="A1886" t="s">
        <v>3021</v>
      </c>
      <c r="B1886" t="s">
        <v>18</v>
      </c>
      <c r="C1886">
        <v>0.25</v>
      </c>
      <c r="D1886">
        <v>0.25</v>
      </c>
      <c r="E1886">
        <v>0.25</v>
      </c>
      <c r="F1886">
        <v>0.25</v>
      </c>
      <c r="G1886">
        <v>0.25</v>
      </c>
      <c r="H1886">
        <v>0.25</v>
      </c>
      <c r="I1886">
        <v>89570</v>
      </c>
      <c r="J1886">
        <v>22392.5</v>
      </c>
      <c r="K1886" s="13">
        <v>43994</v>
      </c>
      <c r="L1886">
        <v>19</v>
      </c>
      <c r="M1886" t="s">
        <v>3022</v>
      </c>
    </row>
    <row r="1887" spans="1:13" x14ac:dyDescent="0.35">
      <c r="A1887" t="s">
        <v>3023</v>
      </c>
      <c r="B1887" t="s">
        <v>18</v>
      </c>
      <c r="C1887">
        <v>13.8</v>
      </c>
      <c r="D1887">
        <v>15.25</v>
      </c>
      <c r="E1887">
        <v>12.6</v>
      </c>
      <c r="F1887">
        <v>14.6</v>
      </c>
      <c r="G1887">
        <v>14.6</v>
      </c>
      <c r="H1887">
        <v>13.9</v>
      </c>
      <c r="I1887">
        <v>531274</v>
      </c>
      <c r="J1887">
        <v>7724797.8499999996</v>
      </c>
      <c r="K1887" s="13">
        <v>43994</v>
      </c>
      <c r="L1887">
        <v>1506</v>
      </c>
      <c r="M1887" t="s">
        <v>3024</v>
      </c>
    </row>
    <row r="1888" spans="1:13" x14ac:dyDescent="0.35">
      <c r="A1888" t="s">
        <v>3025</v>
      </c>
      <c r="B1888" t="s">
        <v>18</v>
      </c>
      <c r="C1888">
        <v>41.55</v>
      </c>
      <c r="D1888">
        <v>42.5</v>
      </c>
      <c r="E1888">
        <v>40.6</v>
      </c>
      <c r="F1888">
        <v>41.95</v>
      </c>
      <c r="G1888">
        <v>41.75</v>
      </c>
      <c r="H1888">
        <v>42.9</v>
      </c>
      <c r="I1888">
        <v>16748</v>
      </c>
      <c r="J1888">
        <v>701642.4</v>
      </c>
      <c r="K1888" s="13">
        <v>43994</v>
      </c>
      <c r="L1888">
        <v>326</v>
      </c>
      <c r="M1888" t="s">
        <v>3026</v>
      </c>
    </row>
    <row r="1889" spans="1:13" x14ac:dyDescent="0.35">
      <c r="A1889" t="s">
        <v>3027</v>
      </c>
      <c r="B1889" t="s">
        <v>18</v>
      </c>
      <c r="C1889">
        <v>1745</v>
      </c>
      <c r="D1889">
        <v>1874</v>
      </c>
      <c r="E1889">
        <v>1696.25</v>
      </c>
      <c r="F1889">
        <v>1790.3</v>
      </c>
      <c r="G1889">
        <v>1850</v>
      </c>
      <c r="H1889">
        <v>1783.6</v>
      </c>
      <c r="I1889">
        <v>25448</v>
      </c>
      <c r="J1889">
        <v>44369589.5</v>
      </c>
      <c r="K1889" s="13">
        <v>43994</v>
      </c>
      <c r="L1889">
        <v>3519</v>
      </c>
      <c r="M1889" t="s">
        <v>3028</v>
      </c>
    </row>
    <row r="1890" spans="1:13" x14ac:dyDescent="0.35">
      <c r="A1890" t="s">
        <v>3029</v>
      </c>
      <c r="B1890" t="s">
        <v>18</v>
      </c>
      <c r="C1890">
        <v>991</v>
      </c>
      <c r="D1890">
        <v>1038</v>
      </c>
      <c r="E1890">
        <v>985</v>
      </c>
      <c r="F1890">
        <v>1009.5</v>
      </c>
      <c r="G1890">
        <v>1008.95</v>
      </c>
      <c r="H1890">
        <v>1022.6</v>
      </c>
      <c r="I1890">
        <v>19324</v>
      </c>
      <c r="J1890">
        <v>19517802.800000001</v>
      </c>
      <c r="K1890" s="13">
        <v>43994</v>
      </c>
      <c r="L1890">
        <v>1958</v>
      </c>
      <c r="M1890" t="s">
        <v>3030</v>
      </c>
    </row>
    <row r="1891" spans="1:13" x14ac:dyDescent="0.35">
      <c r="A1891" t="s">
        <v>59</v>
      </c>
      <c r="B1891" t="s">
        <v>18</v>
      </c>
      <c r="C1891">
        <v>540</v>
      </c>
      <c r="D1891">
        <v>558</v>
      </c>
      <c r="E1891">
        <v>536.9</v>
      </c>
      <c r="F1891">
        <v>553.65</v>
      </c>
      <c r="G1891">
        <v>557.5</v>
      </c>
      <c r="H1891">
        <v>555.70000000000005</v>
      </c>
      <c r="I1891">
        <v>2597897</v>
      </c>
      <c r="J1891">
        <v>1423324530.2</v>
      </c>
      <c r="K1891" s="13">
        <v>43994</v>
      </c>
      <c r="L1891">
        <v>64528</v>
      </c>
      <c r="M1891" t="s">
        <v>3031</v>
      </c>
    </row>
    <row r="1892" spans="1:13" x14ac:dyDescent="0.35">
      <c r="A1892" t="s">
        <v>3032</v>
      </c>
      <c r="B1892" t="s">
        <v>18</v>
      </c>
      <c r="C1892">
        <v>148</v>
      </c>
      <c r="D1892">
        <v>154.44999999999999</v>
      </c>
      <c r="E1892">
        <v>147</v>
      </c>
      <c r="F1892">
        <v>153.5</v>
      </c>
      <c r="G1892">
        <v>153.6</v>
      </c>
      <c r="H1892">
        <v>154.9</v>
      </c>
      <c r="I1892">
        <v>68653</v>
      </c>
      <c r="J1892">
        <v>10437559.449999999</v>
      </c>
      <c r="K1892" s="13">
        <v>43994</v>
      </c>
      <c r="L1892">
        <v>1791</v>
      </c>
      <c r="M1892" t="s">
        <v>3033</v>
      </c>
    </row>
    <row r="1893" spans="1:13" x14ac:dyDescent="0.35">
      <c r="A1893" t="s">
        <v>3034</v>
      </c>
      <c r="B1893" t="s">
        <v>18</v>
      </c>
      <c r="C1893">
        <v>54</v>
      </c>
      <c r="D1893">
        <v>64</v>
      </c>
      <c r="E1893">
        <v>54</v>
      </c>
      <c r="F1893">
        <v>63.55</v>
      </c>
      <c r="G1893">
        <v>63.65</v>
      </c>
      <c r="H1893">
        <v>60.05</v>
      </c>
      <c r="I1893">
        <v>22083</v>
      </c>
      <c r="J1893">
        <v>1302118.25</v>
      </c>
      <c r="K1893" s="13">
        <v>43994</v>
      </c>
      <c r="L1893">
        <v>472</v>
      </c>
      <c r="M1893" t="s">
        <v>3035</v>
      </c>
    </row>
    <row r="1894" spans="1:13" x14ac:dyDescent="0.35">
      <c r="A1894" t="s">
        <v>3036</v>
      </c>
      <c r="B1894" t="s">
        <v>18</v>
      </c>
      <c r="C1894">
        <v>3013.25</v>
      </c>
      <c r="D1894">
        <v>3065</v>
      </c>
      <c r="E1894">
        <v>3000</v>
      </c>
      <c r="F1894">
        <v>3015.5</v>
      </c>
      <c r="G1894">
        <v>3022.05</v>
      </c>
      <c r="H1894">
        <v>3096.8</v>
      </c>
      <c r="I1894">
        <v>25516</v>
      </c>
      <c r="J1894">
        <v>76979221.349999994</v>
      </c>
      <c r="K1894" s="13">
        <v>43994</v>
      </c>
      <c r="L1894">
        <v>4787</v>
      </c>
      <c r="M1894" t="s">
        <v>3037</v>
      </c>
    </row>
    <row r="1895" spans="1:13" x14ac:dyDescent="0.35">
      <c r="A1895" t="s">
        <v>3038</v>
      </c>
      <c r="B1895" t="s">
        <v>18</v>
      </c>
      <c r="C1895">
        <v>1169.9000000000001</v>
      </c>
      <c r="D1895">
        <v>1259.9000000000001</v>
      </c>
      <c r="E1895">
        <v>1113</v>
      </c>
      <c r="F1895">
        <v>1233.3499999999999</v>
      </c>
      <c r="G1895">
        <v>1228.1500000000001</v>
      </c>
      <c r="H1895">
        <v>1175.2</v>
      </c>
      <c r="I1895">
        <v>31438</v>
      </c>
      <c r="J1895">
        <v>37283807.549999997</v>
      </c>
      <c r="K1895" s="13">
        <v>43994</v>
      </c>
      <c r="L1895">
        <v>3345</v>
      </c>
      <c r="M1895" t="s">
        <v>3039</v>
      </c>
    </row>
    <row r="1896" spans="1:13" x14ac:dyDescent="0.35">
      <c r="A1896" t="s">
        <v>3040</v>
      </c>
      <c r="B1896" t="s">
        <v>18</v>
      </c>
      <c r="C1896">
        <v>690</v>
      </c>
      <c r="D1896">
        <v>710</v>
      </c>
      <c r="E1896">
        <v>680</v>
      </c>
      <c r="F1896">
        <v>689.55</v>
      </c>
      <c r="G1896">
        <v>689</v>
      </c>
      <c r="H1896">
        <v>712.55</v>
      </c>
      <c r="I1896">
        <v>17687</v>
      </c>
      <c r="J1896">
        <v>12226638.449999999</v>
      </c>
      <c r="K1896" s="13">
        <v>43994</v>
      </c>
      <c r="L1896">
        <v>2315</v>
      </c>
      <c r="M1896" t="s">
        <v>3041</v>
      </c>
    </row>
    <row r="1897" spans="1:13" x14ac:dyDescent="0.35">
      <c r="A1897" t="s">
        <v>3042</v>
      </c>
      <c r="B1897" t="s">
        <v>18</v>
      </c>
      <c r="C1897">
        <v>105.45</v>
      </c>
      <c r="D1897">
        <v>109</v>
      </c>
      <c r="E1897">
        <v>105.45</v>
      </c>
      <c r="F1897">
        <v>107.6</v>
      </c>
      <c r="G1897">
        <v>108</v>
      </c>
      <c r="H1897">
        <v>110.95</v>
      </c>
      <c r="I1897">
        <v>169276</v>
      </c>
      <c r="J1897">
        <v>18058223.649999999</v>
      </c>
      <c r="K1897" s="13">
        <v>43994</v>
      </c>
      <c r="L1897">
        <v>2689</v>
      </c>
      <c r="M1897" t="s">
        <v>3043</v>
      </c>
    </row>
    <row r="1898" spans="1:13" x14ac:dyDescent="0.35">
      <c r="A1898" t="s">
        <v>3044</v>
      </c>
      <c r="B1898" t="s">
        <v>18</v>
      </c>
      <c r="C1898">
        <v>6853</v>
      </c>
      <c r="D1898">
        <v>6874.8</v>
      </c>
      <c r="E1898">
        <v>6853</v>
      </c>
      <c r="F1898">
        <v>6868.85</v>
      </c>
      <c r="G1898">
        <v>6866</v>
      </c>
      <c r="H1898">
        <v>6870.35</v>
      </c>
      <c r="I1898">
        <v>4441</v>
      </c>
      <c r="J1898">
        <v>30502950.850000001</v>
      </c>
      <c r="K1898" s="13">
        <v>43994</v>
      </c>
      <c r="L1898">
        <v>357</v>
      </c>
      <c r="M1898" t="s">
        <v>3045</v>
      </c>
    </row>
    <row r="1899" spans="1:13" x14ac:dyDescent="0.35">
      <c r="A1899" t="s">
        <v>3046</v>
      </c>
      <c r="B1899" t="s">
        <v>18</v>
      </c>
      <c r="C1899">
        <v>38.6</v>
      </c>
      <c r="D1899">
        <v>42.7</v>
      </c>
      <c r="E1899">
        <v>38.6</v>
      </c>
      <c r="F1899">
        <v>41.9</v>
      </c>
      <c r="G1899">
        <v>42</v>
      </c>
      <c r="H1899">
        <v>42.8</v>
      </c>
      <c r="I1899">
        <v>69669</v>
      </c>
      <c r="J1899">
        <v>2874387</v>
      </c>
      <c r="K1899" s="13">
        <v>43994</v>
      </c>
      <c r="L1899">
        <v>1060</v>
      </c>
      <c r="M1899" t="s">
        <v>3047</v>
      </c>
    </row>
    <row r="1900" spans="1:13" x14ac:dyDescent="0.35">
      <c r="A1900" t="s">
        <v>4104</v>
      </c>
      <c r="B1900" t="s">
        <v>3391</v>
      </c>
      <c r="C1900">
        <v>19.7</v>
      </c>
      <c r="D1900">
        <v>21</v>
      </c>
      <c r="E1900">
        <v>19.600000000000001</v>
      </c>
      <c r="F1900">
        <v>20.3</v>
      </c>
      <c r="G1900">
        <v>20.5</v>
      </c>
      <c r="H1900">
        <v>20.45</v>
      </c>
      <c r="I1900">
        <v>7057</v>
      </c>
      <c r="J1900">
        <v>143026.15</v>
      </c>
      <c r="K1900" s="13">
        <v>43994</v>
      </c>
      <c r="L1900">
        <v>41</v>
      </c>
      <c r="M1900" t="s">
        <v>4105</v>
      </c>
    </row>
    <row r="1901" spans="1:13" x14ac:dyDescent="0.35">
      <c r="A1901" t="s">
        <v>3048</v>
      </c>
      <c r="B1901" t="s">
        <v>18</v>
      </c>
      <c r="C1901">
        <v>90</v>
      </c>
      <c r="D1901">
        <v>101.8</v>
      </c>
      <c r="E1901">
        <v>90</v>
      </c>
      <c r="F1901">
        <v>99.9</v>
      </c>
      <c r="G1901">
        <v>100.5</v>
      </c>
      <c r="H1901">
        <v>95.4</v>
      </c>
      <c r="I1901">
        <v>385606</v>
      </c>
      <c r="J1901">
        <v>37202167.450000003</v>
      </c>
      <c r="K1901" s="13">
        <v>43994</v>
      </c>
      <c r="L1901">
        <v>4451</v>
      </c>
      <c r="M1901" t="s">
        <v>3049</v>
      </c>
    </row>
    <row r="1902" spans="1:13" x14ac:dyDescent="0.35">
      <c r="A1902" t="s">
        <v>3050</v>
      </c>
      <c r="B1902" t="s">
        <v>18</v>
      </c>
      <c r="C1902">
        <v>16.8</v>
      </c>
      <c r="D1902">
        <v>18.2</v>
      </c>
      <c r="E1902">
        <v>16.8</v>
      </c>
      <c r="F1902">
        <v>17.600000000000001</v>
      </c>
      <c r="G1902">
        <v>17.5</v>
      </c>
      <c r="H1902">
        <v>18.2</v>
      </c>
      <c r="I1902">
        <v>44783</v>
      </c>
      <c r="J1902">
        <v>782436.5</v>
      </c>
      <c r="K1902" s="13">
        <v>43994</v>
      </c>
      <c r="L1902">
        <v>295</v>
      </c>
      <c r="M1902" t="s">
        <v>3051</v>
      </c>
    </row>
    <row r="1903" spans="1:13" x14ac:dyDescent="0.35">
      <c r="A1903" t="s">
        <v>3052</v>
      </c>
      <c r="B1903" t="s">
        <v>18</v>
      </c>
      <c r="C1903">
        <v>22.8</v>
      </c>
      <c r="D1903">
        <v>25.45</v>
      </c>
      <c r="E1903">
        <v>22.8</v>
      </c>
      <c r="F1903">
        <v>23.85</v>
      </c>
      <c r="G1903">
        <v>24.5</v>
      </c>
      <c r="H1903">
        <v>23.7</v>
      </c>
      <c r="I1903">
        <v>4083</v>
      </c>
      <c r="J1903">
        <v>99088.55</v>
      </c>
      <c r="K1903" s="13">
        <v>43994</v>
      </c>
      <c r="L1903">
        <v>33</v>
      </c>
      <c r="M1903" t="s">
        <v>3053</v>
      </c>
    </row>
    <row r="1904" spans="1:13" x14ac:dyDescent="0.35">
      <c r="A1904" t="s">
        <v>3054</v>
      </c>
      <c r="B1904" t="s">
        <v>18</v>
      </c>
      <c r="C1904">
        <v>71.55</v>
      </c>
      <c r="D1904">
        <v>74.349999999999994</v>
      </c>
      <c r="E1904">
        <v>71.55</v>
      </c>
      <c r="F1904">
        <v>73.349999999999994</v>
      </c>
      <c r="G1904">
        <v>73.2</v>
      </c>
      <c r="H1904">
        <v>75.3</v>
      </c>
      <c r="I1904">
        <v>1743926</v>
      </c>
      <c r="J1904">
        <v>126120890.75</v>
      </c>
      <c r="K1904" s="13">
        <v>43994</v>
      </c>
      <c r="L1904">
        <v>11393</v>
      </c>
      <c r="M1904" t="s">
        <v>3055</v>
      </c>
    </row>
    <row r="1905" spans="1:13" x14ac:dyDescent="0.35">
      <c r="A1905" t="s">
        <v>3056</v>
      </c>
      <c r="B1905" t="s">
        <v>18</v>
      </c>
      <c r="C1905">
        <v>63</v>
      </c>
      <c r="D1905">
        <v>68.2</v>
      </c>
      <c r="E1905">
        <v>62.15</v>
      </c>
      <c r="F1905">
        <v>66.75</v>
      </c>
      <c r="G1905">
        <v>67.400000000000006</v>
      </c>
      <c r="H1905">
        <v>66.75</v>
      </c>
      <c r="I1905">
        <v>228826</v>
      </c>
      <c r="J1905">
        <v>14891347.050000001</v>
      </c>
      <c r="K1905" s="13">
        <v>43994</v>
      </c>
      <c r="L1905">
        <v>1482</v>
      </c>
      <c r="M1905" t="s">
        <v>3057</v>
      </c>
    </row>
    <row r="1906" spans="1:13" x14ac:dyDescent="0.35">
      <c r="A1906" t="s">
        <v>3058</v>
      </c>
      <c r="B1906" t="s">
        <v>18</v>
      </c>
      <c r="C1906">
        <v>167</v>
      </c>
      <c r="D1906">
        <v>167.5</v>
      </c>
      <c r="E1906">
        <v>161.05000000000001</v>
      </c>
      <c r="F1906">
        <v>167.5</v>
      </c>
      <c r="G1906">
        <v>167.5</v>
      </c>
      <c r="H1906">
        <v>160</v>
      </c>
      <c r="I1906">
        <v>1002</v>
      </c>
      <c r="J1906">
        <v>164881.5</v>
      </c>
      <c r="K1906" s="13">
        <v>43994</v>
      </c>
      <c r="L1906">
        <v>6</v>
      </c>
      <c r="M1906" t="s">
        <v>3059</v>
      </c>
    </row>
    <row r="1907" spans="1:13" x14ac:dyDescent="0.35">
      <c r="A1907" t="s">
        <v>3060</v>
      </c>
      <c r="B1907" t="s">
        <v>18</v>
      </c>
      <c r="C1907">
        <v>32.049999999999997</v>
      </c>
      <c r="D1907">
        <v>33.6</v>
      </c>
      <c r="E1907">
        <v>31.9</v>
      </c>
      <c r="F1907">
        <v>33.299999999999997</v>
      </c>
      <c r="G1907">
        <v>33.4</v>
      </c>
      <c r="H1907">
        <v>33.549999999999997</v>
      </c>
      <c r="I1907">
        <v>500928</v>
      </c>
      <c r="J1907">
        <v>16396124.699999999</v>
      </c>
      <c r="K1907" s="13">
        <v>43994</v>
      </c>
      <c r="L1907">
        <v>2123</v>
      </c>
      <c r="M1907" t="s">
        <v>3061</v>
      </c>
    </row>
    <row r="1908" spans="1:13" x14ac:dyDescent="0.35">
      <c r="A1908" t="s">
        <v>3062</v>
      </c>
      <c r="B1908" t="s">
        <v>18</v>
      </c>
      <c r="C1908">
        <v>2760</v>
      </c>
      <c r="D1908">
        <v>2823</v>
      </c>
      <c r="E1908">
        <v>2700</v>
      </c>
      <c r="F1908">
        <v>2744.35</v>
      </c>
      <c r="G1908">
        <v>2750.5</v>
      </c>
      <c r="H1908">
        <v>2845.6</v>
      </c>
      <c r="I1908">
        <v>525</v>
      </c>
      <c r="J1908">
        <v>1440829.6</v>
      </c>
      <c r="K1908" s="13">
        <v>43994</v>
      </c>
      <c r="L1908">
        <v>132</v>
      </c>
      <c r="M1908" t="s">
        <v>3063</v>
      </c>
    </row>
    <row r="1909" spans="1:13" x14ac:dyDescent="0.35">
      <c r="A1909" t="s">
        <v>3064</v>
      </c>
      <c r="B1909" t="s">
        <v>18</v>
      </c>
      <c r="C1909">
        <v>282.10000000000002</v>
      </c>
      <c r="D1909">
        <v>302</v>
      </c>
      <c r="E1909">
        <v>282.10000000000002</v>
      </c>
      <c r="F1909">
        <v>297.05</v>
      </c>
      <c r="G1909">
        <v>297.14999999999998</v>
      </c>
      <c r="H1909">
        <v>298.64999999999998</v>
      </c>
      <c r="I1909">
        <v>899709</v>
      </c>
      <c r="J1909">
        <v>266343309.19999999</v>
      </c>
      <c r="K1909" s="13">
        <v>43994</v>
      </c>
      <c r="L1909">
        <v>14418</v>
      </c>
      <c r="M1909" t="s">
        <v>3065</v>
      </c>
    </row>
    <row r="1910" spans="1:13" x14ac:dyDescent="0.35">
      <c r="A1910" t="s">
        <v>4106</v>
      </c>
      <c r="B1910" t="s">
        <v>3381</v>
      </c>
      <c r="C1910">
        <v>75.650000000000006</v>
      </c>
      <c r="D1910">
        <v>75.650000000000006</v>
      </c>
      <c r="E1910">
        <v>75.650000000000006</v>
      </c>
      <c r="F1910">
        <v>75.650000000000006</v>
      </c>
      <c r="G1910">
        <v>75.650000000000006</v>
      </c>
      <c r="H1910">
        <v>79.599999999999994</v>
      </c>
      <c r="I1910">
        <v>1600</v>
      </c>
      <c r="J1910">
        <v>121040</v>
      </c>
      <c r="K1910" s="13">
        <v>43994</v>
      </c>
      <c r="L1910">
        <v>1</v>
      </c>
      <c r="M1910" t="s">
        <v>4107</v>
      </c>
    </row>
    <row r="1911" spans="1:13" x14ac:dyDescent="0.35">
      <c r="A1911" t="s">
        <v>3066</v>
      </c>
      <c r="B1911" t="s">
        <v>18</v>
      </c>
      <c r="C1911">
        <v>486.5</v>
      </c>
      <c r="D1911">
        <v>495</v>
      </c>
      <c r="E1911">
        <v>482</v>
      </c>
      <c r="F1911">
        <v>489.8</v>
      </c>
      <c r="G1911">
        <v>490.9</v>
      </c>
      <c r="H1911">
        <v>501.2</v>
      </c>
      <c r="I1911">
        <v>6829</v>
      </c>
      <c r="J1911">
        <v>3342394.1</v>
      </c>
      <c r="K1911" s="13">
        <v>43994</v>
      </c>
      <c r="L1911">
        <v>519</v>
      </c>
      <c r="M1911" t="s">
        <v>3067</v>
      </c>
    </row>
    <row r="1912" spans="1:13" x14ac:dyDescent="0.35">
      <c r="A1912" t="s">
        <v>3068</v>
      </c>
      <c r="B1912" t="s">
        <v>18</v>
      </c>
      <c r="C1912">
        <v>2005</v>
      </c>
      <c r="D1912">
        <v>2074.85</v>
      </c>
      <c r="E1912">
        <v>2005</v>
      </c>
      <c r="F1912">
        <v>2067.1999999999998</v>
      </c>
      <c r="G1912">
        <v>2052.0500000000002</v>
      </c>
      <c r="H1912">
        <v>2052</v>
      </c>
      <c r="I1912">
        <v>36323</v>
      </c>
      <c r="J1912">
        <v>74046073.700000003</v>
      </c>
      <c r="K1912" s="13">
        <v>43994</v>
      </c>
      <c r="L1912">
        <v>3318</v>
      </c>
      <c r="M1912" t="s">
        <v>3069</v>
      </c>
    </row>
    <row r="1913" spans="1:13" x14ac:dyDescent="0.35">
      <c r="A1913" t="s">
        <v>3070</v>
      </c>
      <c r="B1913" t="s">
        <v>18</v>
      </c>
      <c r="C1913">
        <v>14.05</v>
      </c>
      <c r="D1913">
        <v>16.100000000000001</v>
      </c>
      <c r="E1913">
        <v>13.5</v>
      </c>
      <c r="F1913">
        <v>15.45</v>
      </c>
      <c r="G1913">
        <v>15.2</v>
      </c>
      <c r="H1913">
        <v>14.75</v>
      </c>
      <c r="I1913">
        <v>5820</v>
      </c>
      <c r="J1913">
        <v>87663</v>
      </c>
      <c r="K1913" s="13">
        <v>43994</v>
      </c>
      <c r="L1913">
        <v>26</v>
      </c>
      <c r="M1913" t="s">
        <v>3071</v>
      </c>
    </row>
    <row r="1914" spans="1:13" x14ac:dyDescent="0.35">
      <c r="A1914" t="s">
        <v>3072</v>
      </c>
      <c r="B1914" t="s">
        <v>18</v>
      </c>
      <c r="C1914">
        <v>14.8</v>
      </c>
      <c r="D1914">
        <v>16.3</v>
      </c>
      <c r="E1914">
        <v>14.8</v>
      </c>
      <c r="F1914">
        <v>16.3</v>
      </c>
      <c r="G1914">
        <v>16.3</v>
      </c>
      <c r="H1914">
        <v>15.55</v>
      </c>
      <c r="I1914">
        <v>32809</v>
      </c>
      <c r="J1914">
        <v>510938.1</v>
      </c>
      <c r="K1914" s="13">
        <v>43994</v>
      </c>
      <c r="L1914">
        <v>142</v>
      </c>
      <c r="M1914" t="s">
        <v>3073</v>
      </c>
    </row>
    <row r="1915" spans="1:13" x14ac:dyDescent="0.35">
      <c r="A1915" t="s">
        <v>4108</v>
      </c>
      <c r="B1915" t="s">
        <v>3391</v>
      </c>
      <c r="C1915">
        <v>52.05</v>
      </c>
      <c r="D1915">
        <v>52.05</v>
      </c>
      <c r="E1915">
        <v>51</v>
      </c>
      <c r="F1915">
        <v>51</v>
      </c>
      <c r="G1915">
        <v>51</v>
      </c>
      <c r="H1915">
        <v>52.05</v>
      </c>
      <c r="I1915">
        <v>10000</v>
      </c>
      <c r="J1915">
        <v>511550</v>
      </c>
      <c r="K1915" s="13">
        <v>43994</v>
      </c>
      <c r="L1915">
        <v>6</v>
      </c>
      <c r="M1915" t="s">
        <v>4109</v>
      </c>
    </row>
    <row r="1916" spans="1:13" x14ac:dyDescent="0.35">
      <c r="A1916" t="s">
        <v>3074</v>
      </c>
      <c r="B1916" t="s">
        <v>18</v>
      </c>
      <c r="C1916">
        <v>208</v>
      </c>
      <c r="D1916">
        <v>209.5</v>
      </c>
      <c r="E1916">
        <v>206.3</v>
      </c>
      <c r="F1916">
        <v>207.9</v>
      </c>
      <c r="G1916">
        <v>208.1</v>
      </c>
      <c r="H1916">
        <v>212.9</v>
      </c>
      <c r="I1916">
        <v>6209370</v>
      </c>
      <c r="J1916">
        <v>1291303999.1500001</v>
      </c>
      <c r="K1916" s="13">
        <v>43994</v>
      </c>
      <c r="L1916">
        <v>56578</v>
      </c>
      <c r="M1916" t="s">
        <v>3075</v>
      </c>
    </row>
    <row r="1917" spans="1:13" x14ac:dyDescent="0.35">
      <c r="A1917" t="s">
        <v>3076</v>
      </c>
      <c r="B1917" t="s">
        <v>18</v>
      </c>
      <c r="C1917">
        <v>232</v>
      </c>
      <c r="D1917">
        <v>259.89999999999998</v>
      </c>
      <c r="E1917">
        <v>232</v>
      </c>
      <c r="F1917">
        <v>254.05</v>
      </c>
      <c r="G1917">
        <v>254.5</v>
      </c>
      <c r="H1917">
        <v>248.7</v>
      </c>
      <c r="I1917">
        <v>848748</v>
      </c>
      <c r="J1917">
        <v>212258862.75</v>
      </c>
      <c r="K1917" s="13">
        <v>43994</v>
      </c>
      <c r="L1917">
        <v>16167</v>
      </c>
      <c r="M1917" t="s">
        <v>3077</v>
      </c>
    </row>
    <row r="1918" spans="1:13" x14ac:dyDescent="0.35">
      <c r="A1918" t="s">
        <v>3078</v>
      </c>
      <c r="B1918" t="s">
        <v>18</v>
      </c>
      <c r="C1918">
        <v>122.25</v>
      </c>
      <c r="D1918">
        <v>134.5</v>
      </c>
      <c r="E1918">
        <v>122.25</v>
      </c>
      <c r="F1918">
        <v>132.25</v>
      </c>
      <c r="G1918">
        <v>133.44999999999999</v>
      </c>
      <c r="H1918">
        <v>133.75</v>
      </c>
      <c r="I1918">
        <v>84376</v>
      </c>
      <c r="J1918">
        <v>10908595.35</v>
      </c>
      <c r="K1918" s="13">
        <v>43994</v>
      </c>
      <c r="L1918">
        <v>2262</v>
      </c>
      <c r="M1918" t="s">
        <v>3079</v>
      </c>
    </row>
    <row r="1919" spans="1:13" x14ac:dyDescent="0.35">
      <c r="A1919" t="s">
        <v>4110</v>
      </c>
      <c r="B1919" t="s">
        <v>3381</v>
      </c>
      <c r="C1919">
        <v>35</v>
      </c>
      <c r="D1919">
        <v>38.700000000000003</v>
      </c>
      <c r="E1919">
        <v>34.1</v>
      </c>
      <c r="F1919">
        <v>38.700000000000003</v>
      </c>
      <c r="G1919">
        <v>38.700000000000003</v>
      </c>
      <c r="H1919">
        <v>38.65</v>
      </c>
      <c r="I1919">
        <v>7500</v>
      </c>
      <c r="J1919">
        <v>275025</v>
      </c>
      <c r="K1919" s="13">
        <v>43994</v>
      </c>
      <c r="L1919">
        <v>5</v>
      </c>
      <c r="M1919" t="s">
        <v>4111</v>
      </c>
    </row>
    <row r="1920" spans="1:13" x14ac:dyDescent="0.35">
      <c r="A1920" t="s">
        <v>3080</v>
      </c>
      <c r="B1920" t="s">
        <v>18</v>
      </c>
      <c r="C1920">
        <v>1.4</v>
      </c>
      <c r="D1920">
        <v>1.4</v>
      </c>
      <c r="E1920">
        <v>1.35</v>
      </c>
      <c r="F1920">
        <v>1.4</v>
      </c>
      <c r="G1920">
        <v>1.4</v>
      </c>
      <c r="H1920">
        <v>1.35</v>
      </c>
      <c r="I1920">
        <v>1390</v>
      </c>
      <c r="J1920">
        <v>1896</v>
      </c>
      <c r="K1920" s="13">
        <v>43994</v>
      </c>
      <c r="L1920">
        <v>6</v>
      </c>
      <c r="M1920" t="s">
        <v>3081</v>
      </c>
    </row>
    <row r="1921" spans="1:13" x14ac:dyDescent="0.35">
      <c r="A1921" t="s">
        <v>3082</v>
      </c>
      <c r="B1921" t="s">
        <v>18</v>
      </c>
      <c r="C1921">
        <v>154</v>
      </c>
      <c r="D1921">
        <v>156.69999999999999</v>
      </c>
      <c r="E1921">
        <v>148.05000000000001</v>
      </c>
      <c r="F1921">
        <v>154.85</v>
      </c>
      <c r="G1921">
        <v>155</v>
      </c>
      <c r="H1921">
        <v>154.44999999999999</v>
      </c>
      <c r="I1921">
        <v>105855</v>
      </c>
      <c r="J1921">
        <v>16282814.25</v>
      </c>
      <c r="K1921" s="13">
        <v>43994</v>
      </c>
      <c r="L1921">
        <v>1707</v>
      </c>
      <c r="M1921" t="s">
        <v>3083</v>
      </c>
    </row>
    <row r="1922" spans="1:13" x14ac:dyDescent="0.35">
      <c r="A1922" t="s">
        <v>3084</v>
      </c>
      <c r="B1922" t="s">
        <v>18</v>
      </c>
      <c r="C1922">
        <v>43.3</v>
      </c>
      <c r="D1922">
        <v>46.25</v>
      </c>
      <c r="E1922">
        <v>42.55</v>
      </c>
      <c r="F1922">
        <v>45.85</v>
      </c>
      <c r="G1922">
        <v>44.6</v>
      </c>
      <c r="H1922">
        <v>44.45</v>
      </c>
      <c r="I1922">
        <v>45576</v>
      </c>
      <c r="J1922">
        <v>2048622.35</v>
      </c>
      <c r="K1922" s="13">
        <v>43994</v>
      </c>
      <c r="L1922">
        <v>577</v>
      </c>
      <c r="M1922" t="s">
        <v>3085</v>
      </c>
    </row>
    <row r="1923" spans="1:13" x14ac:dyDescent="0.35">
      <c r="A1923" t="s">
        <v>3086</v>
      </c>
      <c r="B1923" t="s">
        <v>18</v>
      </c>
      <c r="C1923">
        <v>60.7</v>
      </c>
      <c r="D1923">
        <v>73.45</v>
      </c>
      <c r="E1923">
        <v>60.5</v>
      </c>
      <c r="F1923">
        <v>65.55</v>
      </c>
      <c r="G1923">
        <v>64</v>
      </c>
      <c r="H1923">
        <v>66.8</v>
      </c>
      <c r="I1923">
        <v>36617</v>
      </c>
      <c r="J1923">
        <v>2426962.4</v>
      </c>
      <c r="K1923" s="13">
        <v>43994</v>
      </c>
      <c r="L1923">
        <v>532</v>
      </c>
      <c r="M1923" t="s">
        <v>3087</v>
      </c>
    </row>
    <row r="1924" spans="1:13" x14ac:dyDescent="0.35">
      <c r="A1924" t="s">
        <v>3088</v>
      </c>
      <c r="B1924" t="s">
        <v>18</v>
      </c>
      <c r="C1924">
        <v>18.100000000000001</v>
      </c>
      <c r="D1924">
        <v>20</v>
      </c>
      <c r="E1924">
        <v>18</v>
      </c>
      <c r="F1924">
        <v>18.95</v>
      </c>
      <c r="G1924">
        <v>19</v>
      </c>
      <c r="H1924">
        <v>18.649999999999999</v>
      </c>
      <c r="I1924">
        <v>4616</v>
      </c>
      <c r="J1924">
        <v>85984.95</v>
      </c>
      <c r="K1924" s="13">
        <v>43994</v>
      </c>
      <c r="L1924">
        <v>203</v>
      </c>
      <c r="M1924" t="s">
        <v>3089</v>
      </c>
    </row>
    <row r="1925" spans="1:13" x14ac:dyDescent="0.35">
      <c r="A1925" t="s">
        <v>3090</v>
      </c>
      <c r="B1925" t="s">
        <v>18</v>
      </c>
      <c r="C1925">
        <v>28</v>
      </c>
      <c r="D1925">
        <v>29.7</v>
      </c>
      <c r="E1925">
        <v>28</v>
      </c>
      <c r="F1925">
        <v>29.5</v>
      </c>
      <c r="G1925">
        <v>29.6</v>
      </c>
      <c r="H1925">
        <v>29.8</v>
      </c>
      <c r="I1925">
        <v>12412232</v>
      </c>
      <c r="J1925">
        <v>359529823.5</v>
      </c>
      <c r="K1925" s="13">
        <v>43994</v>
      </c>
      <c r="L1925">
        <v>50306</v>
      </c>
      <c r="M1925" t="s">
        <v>3091</v>
      </c>
    </row>
    <row r="1926" spans="1:13" x14ac:dyDescent="0.35">
      <c r="A1926" t="s">
        <v>3092</v>
      </c>
      <c r="B1926" t="s">
        <v>18</v>
      </c>
      <c r="C1926">
        <v>172</v>
      </c>
      <c r="D1926">
        <v>172</v>
      </c>
      <c r="E1926">
        <v>162.15</v>
      </c>
      <c r="F1926">
        <v>168.55</v>
      </c>
      <c r="G1926">
        <v>168.1</v>
      </c>
      <c r="H1926">
        <v>175.95</v>
      </c>
      <c r="I1926">
        <v>36219996</v>
      </c>
      <c r="J1926">
        <v>6075858182.1000004</v>
      </c>
      <c r="K1926" s="13">
        <v>43994</v>
      </c>
      <c r="L1926">
        <v>235590</v>
      </c>
      <c r="M1926" t="s">
        <v>3093</v>
      </c>
    </row>
    <row r="1927" spans="1:13" x14ac:dyDescent="0.35">
      <c r="A1927" t="s">
        <v>3092</v>
      </c>
      <c r="B1927" t="s">
        <v>4112</v>
      </c>
      <c r="C1927">
        <v>3.55</v>
      </c>
      <c r="D1927">
        <v>3.6</v>
      </c>
      <c r="E1927">
        <v>3.55</v>
      </c>
      <c r="F1927">
        <v>3.6</v>
      </c>
      <c r="G1927">
        <v>3.6</v>
      </c>
      <c r="H1927">
        <v>3.55</v>
      </c>
      <c r="I1927">
        <v>56512</v>
      </c>
      <c r="J1927">
        <v>200745.65</v>
      </c>
      <c r="K1927" s="13">
        <v>43994</v>
      </c>
      <c r="L1927">
        <v>15</v>
      </c>
      <c r="M1927" t="s">
        <v>4113</v>
      </c>
    </row>
    <row r="1928" spans="1:13" x14ac:dyDescent="0.35">
      <c r="A1928" t="s">
        <v>3094</v>
      </c>
      <c r="B1928" t="s">
        <v>18</v>
      </c>
      <c r="C1928">
        <v>12.6</v>
      </c>
      <c r="D1928">
        <v>13.35</v>
      </c>
      <c r="E1928">
        <v>12.6</v>
      </c>
      <c r="F1928">
        <v>13.15</v>
      </c>
      <c r="G1928">
        <v>13.25</v>
      </c>
      <c r="H1928">
        <v>13.05</v>
      </c>
      <c r="I1928">
        <v>480831</v>
      </c>
      <c r="J1928">
        <v>6187870.4000000004</v>
      </c>
      <c r="K1928" s="13">
        <v>43994</v>
      </c>
      <c r="L1928">
        <v>1157</v>
      </c>
      <c r="M1928" t="s">
        <v>3095</v>
      </c>
    </row>
    <row r="1929" spans="1:13" x14ac:dyDescent="0.35">
      <c r="A1929" t="s">
        <v>3096</v>
      </c>
      <c r="B1929" t="s">
        <v>18</v>
      </c>
      <c r="C1929">
        <v>6.7</v>
      </c>
      <c r="D1929">
        <v>6.9</v>
      </c>
      <c r="E1929">
        <v>6.7</v>
      </c>
      <c r="F1929">
        <v>6.7</v>
      </c>
      <c r="G1929">
        <v>6.7</v>
      </c>
      <c r="H1929">
        <v>7.05</v>
      </c>
      <c r="I1929">
        <v>1785691</v>
      </c>
      <c r="J1929">
        <v>11985033.15</v>
      </c>
      <c r="K1929" s="13">
        <v>43994</v>
      </c>
      <c r="L1929">
        <v>1736</v>
      </c>
      <c r="M1929" t="s">
        <v>3097</v>
      </c>
    </row>
    <row r="1930" spans="1:13" x14ac:dyDescent="0.35">
      <c r="A1930" t="s">
        <v>3098</v>
      </c>
      <c r="B1930" t="s">
        <v>18</v>
      </c>
      <c r="C1930">
        <v>0.95</v>
      </c>
      <c r="D1930">
        <v>0.95</v>
      </c>
      <c r="E1930">
        <v>0.95</v>
      </c>
      <c r="F1930">
        <v>0.95</v>
      </c>
      <c r="G1930">
        <v>0.95</v>
      </c>
      <c r="H1930">
        <v>0.9</v>
      </c>
      <c r="I1930">
        <v>84483</v>
      </c>
      <c r="J1930">
        <v>80258.850000000006</v>
      </c>
      <c r="K1930" s="13">
        <v>43994</v>
      </c>
      <c r="L1930">
        <v>43</v>
      </c>
      <c r="M1930" t="s">
        <v>3099</v>
      </c>
    </row>
    <row r="1931" spans="1:13" x14ac:dyDescent="0.35">
      <c r="A1931" t="s">
        <v>3100</v>
      </c>
      <c r="B1931" t="s">
        <v>18</v>
      </c>
      <c r="C1931">
        <v>36</v>
      </c>
      <c r="D1931">
        <v>36</v>
      </c>
      <c r="E1931">
        <v>34.700000000000003</v>
      </c>
      <c r="F1931">
        <v>34.950000000000003</v>
      </c>
      <c r="G1931">
        <v>34.85</v>
      </c>
      <c r="H1931">
        <v>36.25</v>
      </c>
      <c r="I1931">
        <v>220</v>
      </c>
      <c r="J1931">
        <v>7704.6</v>
      </c>
      <c r="K1931" s="13">
        <v>43994</v>
      </c>
      <c r="L1931">
        <v>5</v>
      </c>
      <c r="M1931" t="s">
        <v>3101</v>
      </c>
    </row>
    <row r="1932" spans="1:13" x14ac:dyDescent="0.35">
      <c r="A1932" t="s">
        <v>3102</v>
      </c>
      <c r="B1932" t="s">
        <v>18</v>
      </c>
      <c r="C1932">
        <v>109</v>
      </c>
      <c r="D1932">
        <v>116.75</v>
      </c>
      <c r="E1932">
        <v>109</v>
      </c>
      <c r="F1932">
        <v>115.45</v>
      </c>
      <c r="G1932">
        <v>115</v>
      </c>
      <c r="H1932">
        <v>118</v>
      </c>
      <c r="I1932">
        <v>82549</v>
      </c>
      <c r="J1932">
        <v>9384969.1500000004</v>
      </c>
      <c r="K1932" s="13">
        <v>43994</v>
      </c>
      <c r="L1932">
        <v>2012</v>
      </c>
      <c r="M1932" t="s">
        <v>3103</v>
      </c>
    </row>
    <row r="1933" spans="1:13" x14ac:dyDescent="0.35">
      <c r="A1933" t="s">
        <v>3104</v>
      </c>
      <c r="B1933" t="s">
        <v>18</v>
      </c>
      <c r="C1933">
        <v>47.1</v>
      </c>
      <c r="D1933">
        <v>50.45</v>
      </c>
      <c r="E1933">
        <v>46.7</v>
      </c>
      <c r="F1933">
        <v>49.9</v>
      </c>
      <c r="G1933">
        <v>49.9</v>
      </c>
      <c r="H1933">
        <v>49.85</v>
      </c>
      <c r="I1933">
        <v>132586</v>
      </c>
      <c r="J1933">
        <v>6443675.25</v>
      </c>
      <c r="K1933" s="13">
        <v>43994</v>
      </c>
      <c r="L1933">
        <v>1145</v>
      </c>
      <c r="M1933" t="s">
        <v>3105</v>
      </c>
    </row>
    <row r="1934" spans="1:13" x14ac:dyDescent="0.35">
      <c r="A1934" t="s">
        <v>3106</v>
      </c>
      <c r="B1934" t="s">
        <v>18</v>
      </c>
      <c r="C1934">
        <v>1.8</v>
      </c>
      <c r="D1934">
        <v>1.8</v>
      </c>
      <c r="E1934">
        <v>1.8</v>
      </c>
      <c r="F1934">
        <v>1.8</v>
      </c>
      <c r="G1934">
        <v>1.8</v>
      </c>
      <c r="H1934">
        <v>1.75</v>
      </c>
      <c r="I1934">
        <v>7390</v>
      </c>
      <c r="J1934">
        <v>13302</v>
      </c>
      <c r="K1934" s="13">
        <v>43994</v>
      </c>
      <c r="L1934">
        <v>6</v>
      </c>
      <c r="M1934" t="s">
        <v>3107</v>
      </c>
    </row>
    <row r="1935" spans="1:13" x14ac:dyDescent="0.35">
      <c r="A1935" t="s">
        <v>4114</v>
      </c>
      <c r="B1935" t="s">
        <v>3381</v>
      </c>
      <c r="C1935">
        <v>14.75</v>
      </c>
      <c r="D1935">
        <v>14.75</v>
      </c>
      <c r="E1935">
        <v>14.75</v>
      </c>
      <c r="F1935">
        <v>14.75</v>
      </c>
      <c r="G1935">
        <v>14.75</v>
      </c>
      <c r="H1935">
        <v>14.05</v>
      </c>
      <c r="I1935">
        <v>2000</v>
      </c>
      <c r="J1935">
        <v>29500</v>
      </c>
      <c r="K1935" s="13">
        <v>43994</v>
      </c>
      <c r="L1935">
        <v>1</v>
      </c>
      <c r="M1935" t="s">
        <v>4115</v>
      </c>
    </row>
    <row r="1936" spans="1:13" x14ac:dyDescent="0.35">
      <c r="A1936" t="s">
        <v>3108</v>
      </c>
      <c r="B1936" t="s">
        <v>18</v>
      </c>
      <c r="C1936">
        <v>114.9</v>
      </c>
      <c r="D1936">
        <v>115</v>
      </c>
      <c r="E1936">
        <v>107.1</v>
      </c>
      <c r="F1936">
        <v>111.85</v>
      </c>
      <c r="G1936">
        <v>111</v>
      </c>
      <c r="H1936">
        <v>115.25</v>
      </c>
      <c r="I1936">
        <v>2271</v>
      </c>
      <c r="J1936">
        <v>252690.05</v>
      </c>
      <c r="K1936" s="13">
        <v>43994</v>
      </c>
      <c r="L1936">
        <v>142</v>
      </c>
      <c r="M1936" t="s">
        <v>3109</v>
      </c>
    </row>
    <row r="1937" spans="1:13" x14ac:dyDescent="0.35">
      <c r="A1937" t="s">
        <v>3110</v>
      </c>
      <c r="B1937" t="s">
        <v>18</v>
      </c>
      <c r="C1937">
        <v>24</v>
      </c>
      <c r="D1937">
        <v>24.5</v>
      </c>
      <c r="E1937">
        <v>22.1</v>
      </c>
      <c r="F1937">
        <v>23.85</v>
      </c>
      <c r="G1937">
        <v>24</v>
      </c>
      <c r="H1937">
        <v>24.45</v>
      </c>
      <c r="I1937">
        <v>1259</v>
      </c>
      <c r="J1937">
        <v>29773.25</v>
      </c>
      <c r="K1937" s="13">
        <v>43994</v>
      </c>
      <c r="L1937">
        <v>52</v>
      </c>
      <c r="M1937" t="s">
        <v>3111</v>
      </c>
    </row>
    <row r="1938" spans="1:13" x14ac:dyDescent="0.35">
      <c r="A1938" t="s">
        <v>3112</v>
      </c>
      <c r="B1938" t="s">
        <v>18</v>
      </c>
      <c r="C1938">
        <v>137.5</v>
      </c>
      <c r="D1938">
        <v>148.94999999999999</v>
      </c>
      <c r="E1938">
        <v>137.5</v>
      </c>
      <c r="F1938">
        <v>143.85</v>
      </c>
      <c r="G1938">
        <v>145</v>
      </c>
      <c r="H1938">
        <v>143.05000000000001</v>
      </c>
      <c r="I1938">
        <v>15911</v>
      </c>
      <c r="J1938">
        <v>2300653.7999999998</v>
      </c>
      <c r="K1938" s="13">
        <v>43994</v>
      </c>
      <c r="L1938">
        <v>310</v>
      </c>
      <c r="M1938" t="s">
        <v>3113</v>
      </c>
    </row>
    <row r="1939" spans="1:13" x14ac:dyDescent="0.35">
      <c r="A1939" t="s">
        <v>3114</v>
      </c>
      <c r="B1939" t="s">
        <v>18</v>
      </c>
      <c r="C1939">
        <v>91</v>
      </c>
      <c r="D1939">
        <v>96.9</v>
      </c>
      <c r="E1939">
        <v>91</v>
      </c>
      <c r="F1939">
        <v>96.35</v>
      </c>
      <c r="G1939">
        <v>96.35</v>
      </c>
      <c r="H1939">
        <v>93.95</v>
      </c>
      <c r="I1939">
        <v>30928</v>
      </c>
      <c r="J1939">
        <v>2950589.95</v>
      </c>
      <c r="K1939" s="13">
        <v>43994</v>
      </c>
      <c r="L1939">
        <v>770</v>
      </c>
      <c r="M1939" t="s">
        <v>3115</v>
      </c>
    </row>
    <row r="1940" spans="1:13" x14ac:dyDescent="0.35">
      <c r="A1940" t="s">
        <v>3116</v>
      </c>
      <c r="B1940" t="s">
        <v>18</v>
      </c>
      <c r="C1940">
        <v>42.7</v>
      </c>
      <c r="D1940">
        <v>45.35</v>
      </c>
      <c r="E1940">
        <v>42</v>
      </c>
      <c r="F1940">
        <v>44.7</v>
      </c>
      <c r="G1940">
        <v>45.35</v>
      </c>
      <c r="H1940">
        <v>44.75</v>
      </c>
      <c r="I1940">
        <v>29053</v>
      </c>
      <c r="J1940">
        <v>1273644.95</v>
      </c>
      <c r="K1940" s="13">
        <v>43994</v>
      </c>
      <c r="L1940">
        <v>460</v>
      </c>
      <c r="M1940" t="s">
        <v>3117</v>
      </c>
    </row>
    <row r="1941" spans="1:13" x14ac:dyDescent="0.35">
      <c r="A1941" t="s">
        <v>3118</v>
      </c>
      <c r="B1941" t="s">
        <v>18</v>
      </c>
      <c r="C1941">
        <v>1228</v>
      </c>
      <c r="D1941">
        <v>1252</v>
      </c>
      <c r="E1941">
        <v>1201.1500000000001</v>
      </c>
      <c r="F1941">
        <v>1232.3</v>
      </c>
      <c r="G1941">
        <v>1236.95</v>
      </c>
      <c r="H1941">
        <v>1233.95</v>
      </c>
      <c r="I1941">
        <v>26837</v>
      </c>
      <c r="J1941">
        <v>32902682.050000001</v>
      </c>
      <c r="K1941" s="13">
        <v>43994</v>
      </c>
      <c r="L1941">
        <v>2946</v>
      </c>
      <c r="M1941" t="s">
        <v>3119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R14"/>
  <sheetViews>
    <sheetView workbookViewId="0">
      <pane xSplit="1" ySplit="1" topLeftCell="B7" activePane="bottomRight" state="frozen"/>
      <selection pane="topRight" activeCell="B1" sqref="B1"/>
      <selection pane="bottomLeft" activeCell="A2" sqref="A2"/>
      <selection pane="bottomRight" activeCell="B7" sqref="B7"/>
    </sheetView>
  </sheetViews>
  <sheetFormatPr defaultRowHeight="14.5" x14ac:dyDescent="0.35"/>
  <cols>
    <col min="1" max="1" width="10" bestFit="1" customWidth="1"/>
    <col min="2" max="2" width="12.7265625" bestFit="1" customWidth="1"/>
    <col min="3" max="3" width="8.54296875" bestFit="1" customWidth="1"/>
    <col min="4" max="4" width="7.81640625" bestFit="1" customWidth="1"/>
    <col min="5" max="5" width="4.453125" bestFit="1" customWidth="1"/>
    <col min="6" max="6" width="7.7265625" bestFit="1" customWidth="1"/>
    <col min="7" max="7" width="8.81640625" style="2" bestFit="1" customWidth="1"/>
    <col min="8" max="8" width="8" bestFit="1" customWidth="1"/>
    <col min="9" max="9" width="7.81640625" bestFit="1" customWidth="1"/>
    <col min="10" max="10" width="19.453125" bestFit="1" customWidth="1"/>
    <col min="11" max="11" width="10.26953125" style="2" bestFit="1" customWidth="1"/>
    <col min="12" max="12" width="10.26953125" customWidth="1"/>
    <col min="13" max="13" width="6.7265625" bestFit="1" customWidth="1"/>
    <col min="14" max="14" width="8.453125" style="2" bestFit="1" customWidth="1"/>
    <col min="15" max="15" width="8.453125" style="2" customWidth="1"/>
    <col min="16" max="16" width="8" style="1" bestFit="1" customWidth="1"/>
    <col min="17" max="17" width="7.453125" bestFit="1" customWidth="1"/>
    <col min="18" max="18" width="6.54296875" customWidth="1"/>
  </cols>
  <sheetData>
    <row r="1" spans="1:18" x14ac:dyDescent="0.35">
      <c r="A1" t="s">
        <v>0</v>
      </c>
      <c r="B1" t="s">
        <v>1</v>
      </c>
      <c r="C1" t="s">
        <v>2</v>
      </c>
      <c r="D1" t="s">
        <v>3</v>
      </c>
      <c r="E1" t="s">
        <v>60</v>
      </c>
      <c r="F1" t="s">
        <v>4</v>
      </c>
      <c r="G1" s="2" t="s">
        <v>5</v>
      </c>
      <c r="H1" t="s">
        <v>6</v>
      </c>
      <c r="I1" t="s">
        <v>7</v>
      </c>
      <c r="J1" t="s">
        <v>8</v>
      </c>
      <c r="K1" s="4" t="s">
        <v>9</v>
      </c>
      <c r="L1" s="6" t="s">
        <v>14</v>
      </c>
      <c r="M1" s="7" t="s">
        <v>11</v>
      </c>
      <c r="N1" s="8" t="s">
        <v>10</v>
      </c>
      <c r="O1" s="6" t="s">
        <v>15</v>
      </c>
      <c r="P1" s="3" t="s">
        <v>12</v>
      </c>
      <c r="Q1" s="3" t="s">
        <v>13</v>
      </c>
      <c r="R1" s="3" t="s">
        <v>61</v>
      </c>
    </row>
    <row r="2" spans="1:18" x14ac:dyDescent="0.35">
      <c r="A2" s="5">
        <v>43943</v>
      </c>
      <c r="B2" t="s">
        <v>16</v>
      </c>
      <c r="C2" t="s">
        <v>17</v>
      </c>
      <c r="D2" t="s">
        <v>18</v>
      </c>
      <c r="E2" t="s">
        <v>19</v>
      </c>
      <c r="F2">
        <v>50</v>
      </c>
      <c r="G2" s="2">
        <v>97.1</v>
      </c>
      <c r="H2">
        <v>1000000005069660</v>
      </c>
      <c r="I2">
        <v>2148990</v>
      </c>
      <c r="J2" t="s">
        <v>20</v>
      </c>
      <c r="K2" s="2">
        <f>(F2*G2)</f>
        <v>4855</v>
      </c>
      <c r="L2" t="str">
        <f>B2</f>
        <v>ADANIGAS</v>
      </c>
      <c r="M2">
        <f>IF(AND(E2="buy", B1&lt;&gt;B2),F2,IF(E2="buy",M1+F2,M1-F2))</f>
        <v>50</v>
      </c>
      <c r="N2" s="2">
        <f>IF(OR(B1&lt;&gt;B2,M1=0),G2,IF(E2="sell",N1,(((F2*G2)+(F1*G1))/(F2+F1))))</f>
        <v>97.1</v>
      </c>
      <c r="O2" s="2">
        <f>(M2*N2)</f>
        <v>4855</v>
      </c>
      <c r="P2" s="1" t="str">
        <f>IF(E2="sell",(F2*G2)-(N1*F2),"")</f>
        <v/>
      </c>
      <c r="Q2" t="str">
        <f>LEFT(J2,7)</f>
        <v>2020-04</v>
      </c>
      <c r="R2" t="str">
        <f>IF(IF(B2=B3,0,M2)=0,"",M2)</f>
        <v/>
      </c>
    </row>
    <row r="3" spans="1:18" x14ac:dyDescent="0.35">
      <c r="A3" s="5">
        <v>43962</v>
      </c>
      <c r="B3" t="s">
        <v>16</v>
      </c>
      <c r="C3" t="s">
        <v>17</v>
      </c>
      <c r="D3" t="s">
        <v>18</v>
      </c>
      <c r="E3" t="s">
        <v>19</v>
      </c>
      <c r="F3">
        <v>10</v>
      </c>
      <c r="G3" s="2">
        <v>107.85</v>
      </c>
      <c r="H3">
        <v>1000000004846620</v>
      </c>
      <c r="I3">
        <v>1338148</v>
      </c>
      <c r="J3" t="s">
        <v>21</v>
      </c>
      <c r="K3" s="2">
        <f t="shared" ref="K3:K14" si="0">(F3*G3)</f>
        <v>1078.5</v>
      </c>
      <c r="L3" t="str">
        <f t="shared" ref="L3:L14" si="1">B3</f>
        <v>ADANIGAS</v>
      </c>
      <c r="M3">
        <f t="shared" ref="M3:M14" si="2">IF(AND(E3="buy", B2&lt;&gt;B3),F3,IF(E3="buy",M2+F3,M2-F3))</f>
        <v>60</v>
      </c>
      <c r="N3" s="2">
        <f t="shared" ref="N3:N14" si="3">IF(OR(B2&lt;&gt;B3,M2=0),G3,IF(E3="sell",N2,(((F3*G3)+(F2*G2))/(F3+F2))))</f>
        <v>98.891666666666666</v>
      </c>
      <c r="O3" s="2">
        <f t="shared" ref="O3:O14" si="4">(M3*N3)</f>
        <v>5933.5</v>
      </c>
      <c r="P3" s="1" t="str">
        <f t="shared" ref="P3:P14" si="5">IF(E3="sell",(F3*G3)-(N2*F3),"")</f>
        <v/>
      </c>
      <c r="Q3" t="str">
        <f t="shared" ref="Q3:Q14" si="6">LEFT(J3,7)</f>
        <v>2020-05</v>
      </c>
      <c r="R3" t="str">
        <f t="shared" ref="R3:R13" si="7">IF(IF(B3=B4,0,M3)=0,"",M3)</f>
        <v/>
      </c>
    </row>
    <row r="4" spans="1:18" x14ac:dyDescent="0.35">
      <c r="A4" s="5">
        <v>43983</v>
      </c>
      <c r="B4" t="s">
        <v>16</v>
      </c>
      <c r="C4" t="s">
        <v>17</v>
      </c>
      <c r="D4" t="s">
        <v>18</v>
      </c>
      <c r="E4" t="s">
        <v>22</v>
      </c>
      <c r="F4">
        <v>47</v>
      </c>
      <c r="G4" s="2">
        <v>119.4</v>
      </c>
      <c r="H4">
        <v>1000000007624780</v>
      </c>
      <c r="I4">
        <v>2707555</v>
      </c>
      <c r="J4" t="s">
        <v>23</v>
      </c>
      <c r="K4" s="2">
        <f t="shared" si="0"/>
        <v>5611.8</v>
      </c>
      <c r="L4" t="str">
        <f t="shared" si="1"/>
        <v>ADANIGAS</v>
      </c>
      <c r="M4">
        <f t="shared" si="2"/>
        <v>13</v>
      </c>
      <c r="N4" s="2">
        <f t="shared" si="3"/>
        <v>98.891666666666666</v>
      </c>
      <c r="O4" s="2">
        <f t="shared" si="4"/>
        <v>1285.5916666666667</v>
      </c>
      <c r="P4" s="1">
        <f t="shared" si="5"/>
        <v>963.89166666666733</v>
      </c>
      <c r="Q4" t="str">
        <f t="shared" si="6"/>
        <v>2020-06</v>
      </c>
      <c r="R4" t="str">
        <f t="shared" si="7"/>
        <v/>
      </c>
    </row>
    <row r="5" spans="1:18" x14ac:dyDescent="0.35">
      <c r="A5" s="5">
        <v>43983</v>
      </c>
      <c r="B5" t="s">
        <v>16</v>
      </c>
      <c r="C5" t="s">
        <v>17</v>
      </c>
      <c r="D5" t="s">
        <v>18</v>
      </c>
      <c r="E5" t="s">
        <v>22</v>
      </c>
      <c r="F5">
        <v>3</v>
      </c>
      <c r="G5" s="2">
        <v>119.45</v>
      </c>
      <c r="H5">
        <v>1000000007624780</v>
      </c>
      <c r="I5">
        <v>2707554</v>
      </c>
      <c r="J5" t="s">
        <v>23</v>
      </c>
      <c r="K5" s="2">
        <f t="shared" si="0"/>
        <v>358.35</v>
      </c>
      <c r="L5" t="str">
        <f t="shared" si="1"/>
        <v>ADANIGAS</v>
      </c>
      <c r="M5">
        <f t="shared" si="2"/>
        <v>10</v>
      </c>
      <c r="N5" s="2">
        <f t="shared" si="3"/>
        <v>98.891666666666666</v>
      </c>
      <c r="O5" s="2">
        <f t="shared" si="4"/>
        <v>988.91666666666663</v>
      </c>
      <c r="P5" s="1">
        <f t="shared" si="5"/>
        <v>61.675000000000011</v>
      </c>
      <c r="Q5" t="str">
        <f t="shared" si="6"/>
        <v>2020-06</v>
      </c>
      <c r="R5" t="str">
        <f t="shared" si="7"/>
        <v/>
      </c>
    </row>
    <row r="6" spans="1:18" x14ac:dyDescent="0.35">
      <c r="A6" s="5">
        <v>43990</v>
      </c>
      <c r="B6" t="s">
        <v>16</v>
      </c>
      <c r="C6" t="s">
        <v>17</v>
      </c>
      <c r="D6" t="s">
        <v>18</v>
      </c>
      <c r="E6" t="s">
        <v>19</v>
      </c>
      <c r="F6">
        <v>10</v>
      </c>
      <c r="G6" s="2">
        <v>136.1</v>
      </c>
      <c r="H6">
        <v>1000000004937630</v>
      </c>
      <c r="I6">
        <v>3601309</v>
      </c>
      <c r="J6" t="s">
        <v>24</v>
      </c>
      <c r="K6" s="2">
        <f t="shared" si="0"/>
        <v>1361</v>
      </c>
      <c r="L6" t="str">
        <f t="shared" si="1"/>
        <v>ADANIGAS</v>
      </c>
      <c r="M6">
        <f t="shared" si="2"/>
        <v>20</v>
      </c>
      <c r="N6" s="2">
        <f t="shared" si="3"/>
        <v>132.25769230769231</v>
      </c>
      <c r="O6" s="2">
        <f t="shared" si="4"/>
        <v>2645.1538461538462</v>
      </c>
      <c r="P6" s="1" t="str">
        <f t="shared" si="5"/>
        <v/>
      </c>
      <c r="Q6" t="str">
        <f t="shared" si="6"/>
        <v>2020-06</v>
      </c>
      <c r="R6">
        <f t="shared" si="7"/>
        <v>20</v>
      </c>
    </row>
    <row r="7" spans="1:18" x14ac:dyDescent="0.35">
      <c r="A7" s="5">
        <v>43934</v>
      </c>
      <c r="B7" t="s">
        <v>25</v>
      </c>
      <c r="C7" t="s">
        <v>17</v>
      </c>
      <c r="D7" t="s">
        <v>18</v>
      </c>
      <c r="E7" t="s">
        <v>19</v>
      </c>
      <c r="F7">
        <v>88</v>
      </c>
      <c r="G7" s="2">
        <v>45.85</v>
      </c>
      <c r="H7">
        <v>1000000006510570</v>
      </c>
      <c r="I7">
        <v>2109084</v>
      </c>
      <c r="J7" t="s">
        <v>26</v>
      </c>
      <c r="K7" s="2">
        <f t="shared" si="0"/>
        <v>4034.8</v>
      </c>
      <c r="L7" t="str">
        <f t="shared" si="1"/>
        <v>ASHOKLEY</v>
      </c>
      <c r="M7">
        <f t="shared" si="2"/>
        <v>88</v>
      </c>
      <c r="N7" s="2">
        <f t="shared" si="3"/>
        <v>45.85</v>
      </c>
      <c r="O7" s="2">
        <f t="shared" si="4"/>
        <v>4034.8</v>
      </c>
      <c r="P7" s="1" t="str">
        <f t="shared" si="5"/>
        <v/>
      </c>
      <c r="Q7" t="str">
        <f t="shared" si="6"/>
        <v>2020-04</v>
      </c>
      <c r="R7" t="str">
        <f t="shared" si="7"/>
        <v/>
      </c>
    </row>
    <row r="8" spans="1:18" x14ac:dyDescent="0.35">
      <c r="A8" s="5">
        <v>43934</v>
      </c>
      <c r="B8" t="s">
        <v>25</v>
      </c>
      <c r="C8" t="s">
        <v>17</v>
      </c>
      <c r="D8" t="s">
        <v>18</v>
      </c>
      <c r="E8" t="s">
        <v>19</v>
      </c>
      <c r="F8">
        <v>12</v>
      </c>
      <c r="G8" s="2">
        <v>45.85</v>
      </c>
      <c r="H8">
        <v>1000000006510570</v>
      </c>
      <c r="I8">
        <v>2109083</v>
      </c>
      <c r="J8" t="s">
        <v>26</v>
      </c>
      <c r="K8" s="2">
        <f t="shared" si="0"/>
        <v>550.20000000000005</v>
      </c>
      <c r="L8" t="str">
        <f t="shared" si="1"/>
        <v>ASHOKLEY</v>
      </c>
      <c r="M8">
        <f t="shared" si="2"/>
        <v>100</v>
      </c>
      <c r="N8" s="2">
        <f t="shared" si="3"/>
        <v>45.85</v>
      </c>
      <c r="O8" s="2">
        <f t="shared" si="4"/>
        <v>4585</v>
      </c>
      <c r="P8" s="1" t="str">
        <f t="shared" si="5"/>
        <v/>
      </c>
      <c r="Q8" t="str">
        <f t="shared" si="6"/>
        <v>2020-04</v>
      </c>
      <c r="R8" t="str">
        <f t="shared" si="7"/>
        <v/>
      </c>
    </row>
    <row r="9" spans="1:18" x14ac:dyDescent="0.35">
      <c r="A9" s="5">
        <v>43937</v>
      </c>
      <c r="B9" t="s">
        <v>25</v>
      </c>
      <c r="C9" t="s">
        <v>17</v>
      </c>
      <c r="D9" t="s">
        <v>18</v>
      </c>
      <c r="E9" t="s">
        <v>19</v>
      </c>
      <c r="F9">
        <v>30</v>
      </c>
      <c r="G9" s="2">
        <v>47.4</v>
      </c>
      <c r="H9">
        <v>1000000002245340</v>
      </c>
      <c r="I9">
        <v>704753</v>
      </c>
      <c r="J9" t="s">
        <v>27</v>
      </c>
      <c r="K9" s="2">
        <f t="shared" si="0"/>
        <v>1422</v>
      </c>
      <c r="L9" t="str">
        <f t="shared" si="1"/>
        <v>ASHOKLEY</v>
      </c>
      <c r="M9">
        <f t="shared" si="2"/>
        <v>130</v>
      </c>
      <c r="N9" s="2">
        <f t="shared" si="3"/>
        <v>46.957142857142856</v>
      </c>
      <c r="O9" s="2">
        <f t="shared" si="4"/>
        <v>6104.4285714285716</v>
      </c>
      <c r="P9" s="1" t="str">
        <f t="shared" si="5"/>
        <v/>
      </c>
      <c r="Q9" t="str">
        <f t="shared" si="6"/>
        <v>2020-04</v>
      </c>
      <c r="R9">
        <f t="shared" si="7"/>
        <v>130</v>
      </c>
    </row>
    <row r="10" spans="1:18" x14ac:dyDescent="0.35">
      <c r="A10" s="5">
        <v>43956</v>
      </c>
      <c r="B10" t="s">
        <v>28</v>
      </c>
      <c r="C10" t="s">
        <v>17</v>
      </c>
      <c r="D10" t="s">
        <v>18</v>
      </c>
      <c r="E10" t="s">
        <v>19</v>
      </c>
      <c r="F10">
        <v>2</v>
      </c>
      <c r="G10" s="2">
        <v>2100.1</v>
      </c>
      <c r="H10">
        <v>1000000000476170</v>
      </c>
      <c r="I10">
        <v>368368</v>
      </c>
      <c r="J10" t="s">
        <v>29</v>
      </c>
      <c r="K10" s="2">
        <f t="shared" si="0"/>
        <v>4200.2</v>
      </c>
      <c r="L10" t="str">
        <f t="shared" si="1"/>
        <v>BAJFINANCE</v>
      </c>
      <c r="M10">
        <f t="shared" si="2"/>
        <v>2</v>
      </c>
      <c r="N10" s="2">
        <f t="shared" si="3"/>
        <v>2100.1</v>
      </c>
      <c r="O10" s="2">
        <f t="shared" si="4"/>
        <v>4200.2</v>
      </c>
      <c r="P10" s="1" t="str">
        <f t="shared" si="5"/>
        <v/>
      </c>
      <c r="Q10" t="str">
        <f t="shared" si="6"/>
        <v>2020-05</v>
      </c>
      <c r="R10" t="str">
        <f t="shared" si="7"/>
        <v/>
      </c>
    </row>
    <row r="11" spans="1:18" x14ac:dyDescent="0.35">
      <c r="A11" s="5">
        <v>43987</v>
      </c>
      <c r="B11" t="s">
        <v>28</v>
      </c>
      <c r="C11" t="s">
        <v>17</v>
      </c>
      <c r="D11" t="s">
        <v>18</v>
      </c>
      <c r="E11" t="s">
        <v>22</v>
      </c>
      <c r="F11">
        <v>2</v>
      </c>
      <c r="G11" s="2">
        <v>2399.8000000000002</v>
      </c>
      <c r="H11">
        <v>1000000001855800</v>
      </c>
      <c r="I11">
        <v>4098491</v>
      </c>
      <c r="J11" t="s">
        <v>30</v>
      </c>
      <c r="K11" s="2">
        <f t="shared" si="0"/>
        <v>4799.6000000000004</v>
      </c>
      <c r="L11" t="str">
        <f t="shared" si="1"/>
        <v>BAJFINANCE</v>
      </c>
      <c r="M11">
        <f t="shared" si="2"/>
        <v>0</v>
      </c>
      <c r="N11" s="2">
        <f t="shared" si="3"/>
        <v>2100.1</v>
      </c>
      <c r="O11" s="2">
        <f t="shared" si="4"/>
        <v>0</v>
      </c>
      <c r="P11" s="1">
        <f t="shared" si="5"/>
        <v>599.40000000000055</v>
      </c>
      <c r="Q11" t="str">
        <f t="shared" si="6"/>
        <v>2020-06</v>
      </c>
      <c r="R11" t="str">
        <f t="shared" si="7"/>
        <v/>
      </c>
    </row>
    <row r="12" spans="1:18" x14ac:dyDescent="0.35">
      <c r="A12" s="5">
        <v>43938</v>
      </c>
      <c r="B12" t="s">
        <v>31</v>
      </c>
      <c r="C12" t="s">
        <v>17</v>
      </c>
      <c r="D12" t="s">
        <v>18</v>
      </c>
      <c r="E12" t="s">
        <v>19</v>
      </c>
      <c r="F12">
        <v>1</v>
      </c>
      <c r="G12" s="2">
        <v>1210.0999999999999</v>
      </c>
      <c r="H12">
        <v>1000000003342240</v>
      </c>
      <c r="I12">
        <v>3169653</v>
      </c>
      <c r="J12" t="s">
        <v>32</v>
      </c>
      <c r="K12" s="2">
        <f t="shared" si="0"/>
        <v>1210.0999999999999</v>
      </c>
      <c r="L12" t="str">
        <f t="shared" si="1"/>
        <v>BATAINDIA</v>
      </c>
      <c r="M12">
        <f t="shared" si="2"/>
        <v>1</v>
      </c>
      <c r="N12" s="2">
        <f t="shared" si="3"/>
        <v>1210.0999999999999</v>
      </c>
      <c r="O12" s="2">
        <f t="shared" si="4"/>
        <v>1210.0999999999999</v>
      </c>
      <c r="P12" s="1" t="str">
        <f t="shared" si="5"/>
        <v/>
      </c>
      <c r="Q12" t="str">
        <f t="shared" si="6"/>
        <v>2020-04</v>
      </c>
      <c r="R12" t="str">
        <f t="shared" si="7"/>
        <v/>
      </c>
    </row>
    <row r="13" spans="1:18" x14ac:dyDescent="0.35">
      <c r="A13" s="5">
        <v>43986</v>
      </c>
      <c r="B13" t="s">
        <v>31</v>
      </c>
      <c r="C13" t="s">
        <v>17</v>
      </c>
      <c r="D13" t="s">
        <v>18</v>
      </c>
      <c r="E13" t="s">
        <v>22</v>
      </c>
      <c r="F13">
        <v>1</v>
      </c>
      <c r="G13" s="2">
        <v>1392.15</v>
      </c>
      <c r="H13">
        <v>1000000002611820</v>
      </c>
      <c r="I13">
        <v>851618</v>
      </c>
      <c r="J13" t="s">
        <v>33</v>
      </c>
      <c r="K13" s="2">
        <f t="shared" si="0"/>
        <v>1392.15</v>
      </c>
      <c r="L13" t="str">
        <f t="shared" si="1"/>
        <v>BATAINDIA</v>
      </c>
      <c r="M13">
        <f t="shared" si="2"/>
        <v>0</v>
      </c>
      <c r="N13" s="2">
        <f t="shared" si="3"/>
        <v>1210.0999999999999</v>
      </c>
      <c r="O13" s="2">
        <f t="shared" si="4"/>
        <v>0</v>
      </c>
      <c r="P13" s="1">
        <f t="shared" si="5"/>
        <v>182.05000000000018</v>
      </c>
      <c r="Q13" t="str">
        <f t="shared" si="6"/>
        <v>2020-06</v>
      </c>
      <c r="R13" t="str">
        <f t="shared" si="7"/>
        <v/>
      </c>
    </row>
    <row r="14" spans="1:18" x14ac:dyDescent="0.35">
      <c r="A14" s="5">
        <v>43990</v>
      </c>
      <c r="B14" t="s">
        <v>31</v>
      </c>
      <c r="C14" t="s">
        <v>17</v>
      </c>
      <c r="D14" t="s">
        <v>18</v>
      </c>
      <c r="E14" t="s">
        <v>19</v>
      </c>
      <c r="F14">
        <v>3</v>
      </c>
      <c r="G14" s="2">
        <v>1421.15</v>
      </c>
      <c r="H14">
        <v>1000000004849310</v>
      </c>
      <c r="I14">
        <v>3552069</v>
      </c>
      <c r="J14" t="s">
        <v>34</v>
      </c>
      <c r="K14" s="2">
        <f t="shared" si="0"/>
        <v>4263.4500000000007</v>
      </c>
      <c r="L14" t="str">
        <f t="shared" si="1"/>
        <v>BATAINDIA</v>
      </c>
      <c r="M14">
        <f t="shared" si="2"/>
        <v>3</v>
      </c>
      <c r="N14" s="2">
        <f t="shared" si="3"/>
        <v>1421.15</v>
      </c>
      <c r="O14" s="2">
        <f t="shared" si="4"/>
        <v>4263.4500000000007</v>
      </c>
      <c r="P14" s="1" t="str">
        <f t="shared" si="5"/>
        <v/>
      </c>
      <c r="Q14" t="str">
        <f t="shared" si="6"/>
        <v>2020-06</v>
      </c>
      <c r="R14" t="e">
        <f>IF(IF(B14=#REF!,0,M14)=0,"",M14)</f>
        <v>#REF!</v>
      </c>
    </row>
  </sheetData>
  <autoFilter ref="A1:R14" xr:uid="{00000000-0009-0000-0000-000002000000}"/>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25"/>
  <sheetViews>
    <sheetView workbookViewId="0">
      <selection activeCell="K6" sqref="K6"/>
    </sheetView>
  </sheetViews>
  <sheetFormatPr defaultRowHeight="14.5" x14ac:dyDescent="0.35"/>
  <cols>
    <col min="1" max="1" width="13.54296875" bestFit="1" customWidth="1"/>
    <col min="2" max="2" width="6.7265625" bestFit="1" customWidth="1"/>
    <col min="3" max="4" width="11.81640625" style="1" bestFit="1" customWidth="1"/>
    <col min="5" max="5" width="10.1796875" bestFit="1" customWidth="1"/>
  </cols>
  <sheetData>
    <row r="1" spans="1:5" s="9" customFormat="1" x14ac:dyDescent="0.35">
      <c r="A1" s="9" t="s">
        <v>14</v>
      </c>
      <c r="B1" s="9" t="s">
        <v>11</v>
      </c>
      <c r="C1" s="10" t="s">
        <v>10</v>
      </c>
      <c r="D1" s="10" t="s">
        <v>15</v>
      </c>
      <c r="E1" s="9" t="s">
        <v>62</v>
      </c>
    </row>
    <row r="2" spans="1:5" x14ac:dyDescent="0.35">
      <c r="A2" t="s">
        <v>16</v>
      </c>
      <c r="B2">
        <v>20</v>
      </c>
      <c r="C2" s="1">
        <v>132.25769230769231</v>
      </c>
      <c r="D2" s="1">
        <v>2645.1538461538462</v>
      </c>
      <c r="E2" t="str">
        <f>IFERROR(VLOOKUP(A2,Indices!D$1:G$158,4,FALSE),"NotInIndex")</f>
        <v>OILGA</v>
      </c>
    </row>
    <row r="3" spans="1:5" x14ac:dyDescent="0.35">
      <c r="A3" t="s">
        <v>25</v>
      </c>
      <c r="B3">
        <v>130</v>
      </c>
      <c r="C3" s="1">
        <v>46.957142857142856</v>
      </c>
      <c r="D3" s="1">
        <v>6104.4285714285716</v>
      </c>
      <c r="E3" t="str">
        <f>IFERROR(VLOOKUP(A3,Indices!D$1:G$158,4,FALSE),"NotInIndex")</f>
        <v>AUTOL</v>
      </c>
    </row>
    <row r="4" spans="1:5" x14ac:dyDescent="0.35">
      <c r="A4" t="s">
        <v>31</v>
      </c>
      <c r="B4">
        <v>3</v>
      </c>
      <c r="C4" s="1">
        <v>1421.15</v>
      </c>
      <c r="D4" s="1">
        <v>4263.4500000000007</v>
      </c>
      <c r="E4" t="str">
        <f>IFERROR(VLOOKUP(A4,Indices!D$1:G$158,4,FALSE),"NotInIndex")</f>
        <v>CONSU</v>
      </c>
    </row>
    <row r="5" spans="1:5" x14ac:dyDescent="0.35">
      <c r="A5" t="s">
        <v>36</v>
      </c>
      <c r="B5">
        <v>1</v>
      </c>
      <c r="C5" s="1">
        <v>70.55</v>
      </c>
      <c r="D5" s="1">
        <v>70.55</v>
      </c>
      <c r="E5" t="str">
        <f>IFERROR(VLOOKUP(A5,Indices!D$1:G$158,4,FALSE),"NotInIndex")</f>
        <v>NotInIndex</v>
      </c>
    </row>
    <row r="6" spans="1:5" x14ac:dyDescent="0.35">
      <c r="A6" t="s">
        <v>37</v>
      </c>
      <c r="B6">
        <v>1</v>
      </c>
      <c r="C6" s="1">
        <v>2390</v>
      </c>
      <c r="D6" s="1">
        <v>2390</v>
      </c>
      <c r="E6" t="str">
        <f>IFERROR(VLOOKUP(A6,Indices!D$1:G$158,4,FALSE),"NotInIndex")</f>
        <v>PHARM</v>
      </c>
    </row>
    <row r="7" spans="1:5" x14ac:dyDescent="0.35">
      <c r="A7" t="s">
        <v>38</v>
      </c>
      <c r="B7">
        <v>1</v>
      </c>
      <c r="C7" s="1">
        <v>16910.150000000001</v>
      </c>
      <c r="D7" s="1">
        <v>16910.150000000001</v>
      </c>
      <c r="E7" t="str">
        <f>IFERROR(VLOOKUP(A7,Indices!D$1:G$158,4,FALSE),"NotInIndex")</f>
        <v>AUTOL</v>
      </c>
    </row>
    <row r="8" spans="1:5" x14ac:dyDescent="0.35">
      <c r="A8" t="s">
        <v>39</v>
      </c>
      <c r="B8">
        <v>67</v>
      </c>
      <c r="C8" s="1">
        <v>65.425373134328353</v>
      </c>
      <c r="D8" s="1">
        <v>4383.5</v>
      </c>
      <c r="E8" t="str">
        <f>IFERROR(VLOOKUP(A8,Indices!D$1:G$158,4,FALSE),"NotInIndex")</f>
        <v>NotInIndex</v>
      </c>
    </row>
    <row r="9" spans="1:5" x14ac:dyDescent="0.35">
      <c r="A9" t="s">
        <v>41</v>
      </c>
      <c r="B9">
        <v>3</v>
      </c>
      <c r="C9" s="1">
        <v>929.75</v>
      </c>
      <c r="D9" s="1">
        <v>2789.25</v>
      </c>
      <c r="E9" t="str">
        <f>IFERROR(VLOOKUP(A9,Indices!D$1:G$158,4,FALSE),"NotInIndex")</f>
        <v>BANKL</v>
      </c>
    </row>
    <row r="10" spans="1:5" x14ac:dyDescent="0.35">
      <c r="A10" t="s">
        <v>42</v>
      </c>
      <c r="B10">
        <v>1</v>
      </c>
      <c r="C10" s="1">
        <v>2374.25</v>
      </c>
      <c r="D10" s="1">
        <v>2374.25</v>
      </c>
      <c r="E10" t="str">
        <f>IFERROR(VLOOKUP(A10,Indices!D$1:G$158,4,FALSE),"NotInIndex")</f>
        <v>AUTOL</v>
      </c>
    </row>
    <row r="11" spans="1:5" x14ac:dyDescent="0.35">
      <c r="A11" t="s">
        <v>44</v>
      </c>
      <c r="B11">
        <v>20</v>
      </c>
      <c r="C11" s="1">
        <v>176.67500000000001</v>
      </c>
      <c r="D11" s="1">
        <v>3533.5</v>
      </c>
      <c r="E11" t="str">
        <f>IFERROR(VLOOKUP(A11,Indices!D$1:G$158,4,FALSE),"NotInIndex")</f>
        <v>METAL</v>
      </c>
    </row>
    <row r="12" spans="1:5" x14ac:dyDescent="0.35">
      <c r="A12" t="s">
        <v>45</v>
      </c>
      <c r="B12">
        <v>18</v>
      </c>
      <c r="C12" s="1">
        <v>344.43333333333334</v>
      </c>
      <c r="D12" s="1">
        <v>6199.8</v>
      </c>
      <c r="E12" t="str">
        <f>IFERROR(VLOOKUP(A12,Indices!D$1:G$158,4,FALSE),"NotInIndex")</f>
        <v>BANKL</v>
      </c>
    </row>
    <row r="13" spans="1:5" x14ac:dyDescent="0.35">
      <c r="A13" t="s">
        <v>46</v>
      </c>
      <c r="B13">
        <v>50</v>
      </c>
      <c r="C13" s="1">
        <v>94.65</v>
      </c>
      <c r="D13" s="1">
        <v>4732.5</v>
      </c>
      <c r="E13" t="str">
        <f>IFERROR(VLOOKUP(A13,Indices!D$1:G$158,4,FALSE),"NotInIndex")</f>
        <v>NotInIndex</v>
      </c>
    </row>
    <row r="14" spans="1:5" x14ac:dyDescent="0.35">
      <c r="A14" t="s">
        <v>47</v>
      </c>
      <c r="B14">
        <v>2</v>
      </c>
      <c r="C14" s="1">
        <v>675.1</v>
      </c>
      <c r="D14" s="1">
        <v>1350.2</v>
      </c>
      <c r="E14" t="str">
        <f>IFERROR(VLOOKUP(A14,Indices!D$1:G$158,4,FALSE),"NotInIndex")</f>
        <v>ITLIS</v>
      </c>
    </row>
    <row r="15" spans="1:5" x14ac:dyDescent="0.35">
      <c r="A15" t="s">
        <v>48</v>
      </c>
      <c r="B15">
        <v>22</v>
      </c>
      <c r="C15" s="1">
        <v>195.1409090909091</v>
      </c>
      <c r="D15" s="1">
        <v>4293.1000000000004</v>
      </c>
      <c r="E15" t="str">
        <f>IFERROR(VLOOKUP(A15,Indices!D$1:G$158,4,FALSE),"NotInIndex")</f>
        <v>FMCGL</v>
      </c>
    </row>
    <row r="16" spans="1:5" x14ac:dyDescent="0.35">
      <c r="A16" t="s">
        <v>49</v>
      </c>
      <c r="B16">
        <v>10</v>
      </c>
      <c r="C16" s="1">
        <v>145.1</v>
      </c>
      <c r="D16" s="1">
        <v>1451</v>
      </c>
      <c r="E16" t="str">
        <f>IFERROR(VLOOKUP(A16,Indices!D$1:G$158,4,FALSE),"NotInIndex")</f>
        <v>METAL</v>
      </c>
    </row>
    <row r="17" spans="1:5" x14ac:dyDescent="0.35">
      <c r="A17" t="s">
        <v>50</v>
      </c>
      <c r="B17">
        <v>14</v>
      </c>
      <c r="C17" s="1">
        <v>323.20714285714286</v>
      </c>
      <c r="D17" s="1">
        <v>4524.8999999999996</v>
      </c>
      <c r="E17" t="str">
        <f>IFERROR(VLOOKUP(A17,Indices!D$1:G$158,4,FALSE),"NotInIndex")</f>
        <v>FMCGL</v>
      </c>
    </row>
    <row r="18" spans="1:5" x14ac:dyDescent="0.35">
      <c r="A18" t="s">
        <v>51</v>
      </c>
      <c r="B18">
        <v>4</v>
      </c>
      <c r="C18" s="1">
        <v>5692.1</v>
      </c>
      <c r="D18" s="1">
        <v>22768.400000000001</v>
      </c>
      <c r="E18" t="str">
        <f>IFERROR(VLOOKUP(A18,Indices!D$1:G$158,4,FALSE),"NotInIndex")</f>
        <v>AUTOL</v>
      </c>
    </row>
    <row r="19" spans="1:5" x14ac:dyDescent="0.35">
      <c r="A19" t="s">
        <v>52</v>
      </c>
      <c r="B19">
        <v>56</v>
      </c>
      <c r="C19" s="1">
        <v>91.190909090909088</v>
      </c>
      <c r="D19" s="1">
        <v>5106.6909090909085</v>
      </c>
      <c r="E19" t="str">
        <f>IFERROR(VLOOKUP(A19,Indices!D$1:G$158,4,FALSE),"NotInIndex")</f>
        <v>AUTOL</v>
      </c>
    </row>
    <row r="20" spans="1:5" x14ac:dyDescent="0.35">
      <c r="A20" t="s">
        <v>53</v>
      </c>
      <c r="B20">
        <v>100</v>
      </c>
      <c r="C20" s="1">
        <v>92.19</v>
      </c>
      <c r="D20" s="1">
        <v>9219</v>
      </c>
      <c r="E20" t="str">
        <f>IFERROR(VLOOKUP(A20,Indices!D$1:G$158,4,FALSE),"NotInIndex")</f>
        <v>NotInIndex</v>
      </c>
    </row>
    <row r="21" spans="1:5" x14ac:dyDescent="0.35">
      <c r="A21" t="s">
        <v>54</v>
      </c>
      <c r="B21">
        <v>10</v>
      </c>
      <c r="C21" s="1">
        <v>335.1</v>
      </c>
      <c r="D21" s="1">
        <v>3351</v>
      </c>
      <c r="E21" t="str">
        <f>IFERROR(VLOOKUP(A21,Indices!D$1:G$158,4,FALSE),"NotInIndex")</f>
        <v>REALT</v>
      </c>
    </row>
    <row r="22" spans="1:5" x14ac:dyDescent="0.35">
      <c r="A22" t="s">
        <v>57</v>
      </c>
      <c r="B22">
        <v>10</v>
      </c>
      <c r="C22" s="1">
        <v>495.1</v>
      </c>
      <c r="D22" s="1">
        <v>4951</v>
      </c>
      <c r="E22" t="str">
        <f>IFERROR(VLOOKUP(A22,Indices!D$1:G$158,4,FALSE),"NotInIndex")</f>
        <v>PHARM</v>
      </c>
    </row>
    <row r="23" spans="1:5" x14ac:dyDescent="0.35">
      <c r="A23" t="s">
        <v>58</v>
      </c>
      <c r="B23">
        <v>10</v>
      </c>
      <c r="C23" s="1">
        <v>335.05</v>
      </c>
      <c r="D23" s="1">
        <v>3350.5</v>
      </c>
      <c r="E23" t="str">
        <f>IFERROR(VLOOKUP(A23,Indices!D$1:G$158,4,FALSE),"NotInIndex")</f>
        <v>METAL</v>
      </c>
    </row>
    <row r="24" spans="1:5" x14ac:dyDescent="0.35">
      <c r="A24" t="s">
        <v>59</v>
      </c>
      <c r="B24">
        <v>4</v>
      </c>
      <c r="C24" s="1">
        <v>573.20000000000005</v>
      </c>
      <c r="D24" s="1">
        <v>2292.8000000000002</v>
      </c>
      <c r="E24" t="str">
        <f>IFERROR(VLOOKUP(A24,Indices!D$1:G$158,4,FALSE),"NotInIndex")</f>
        <v>CONSU</v>
      </c>
    </row>
    <row r="25" spans="1:5" x14ac:dyDescent="0.35">
      <c r="A25" t="s">
        <v>2332</v>
      </c>
      <c r="E25" t="str">
        <f>IFERROR(VLOOKUP(A25,Indices!D$1:G$158,4,FALSE),"NotInIndex")</f>
        <v>OILGA</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00B050"/>
  </sheetPr>
  <dimension ref="A1:P100"/>
  <sheetViews>
    <sheetView workbookViewId="0">
      <pane xSplit="3" ySplit="1" topLeftCell="D2" activePane="bottomRight" state="frozen"/>
      <selection pane="topRight" activeCell="C1" sqref="C1"/>
      <selection pane="bottomLeft" activeCell="A2" sqref="A2"/>
      <selection pane="bottomRight" activeCell="B47" sqref="B47"/>
    </sheetView>
  </sheetViews>
  <sheetFormatPr defaultRowHeight="14.5" x14ac:dyDescent="0.35"/>
  <cols>
    <col min="1" max="1" width="9.453125" style="19" bestFit="1" customWidth="1"/>
    <col min="2" max="2" width="13.54296875" bestFit="1" customWidth="1"/>
    <col min="3" max="3" width="5.1796875" customWidth="1"/>
    <col min="4" max="4" width="6.7265625" bestFit="1" customWidth="1"/>
    <col min="5" max="5" width="9" style="1" bestFit="1" customWidth="1"/>
    <col min="6" max="6" width="5.81640625" style="20" bestFit="1" customWidth="1"/>
    <col min="7" max="7" width="10.54296875" style="2" bestFit="1" customWidth="1"/>
    <col min="8" max="8" width="5.81640625" style="20" bestFit="1" customWidth="1"/>
    <col min="9" max="9" width="8" style="1" customWidth="1"/>
    <col min="10" max="10" width="8.54296875" style="1" bestFit="1" customWidth="1"/>
    <col min="11" max="11" width="6.54296875" style="1" bestFit="1" customWidth="1"/>
    <col min="12" max="12" width="7.1796875" style="18" customWidth="1"/>
    <col min="13" max="13" width="8" style="1" bestFit="1" customWidth="1"/>
    <col min="14" max="14" width="9.453125" bestFit="1" customWidth="1"/>
    <col min="15" max="15" width="13.1796875" bestFit="1" customWidth="1"/>
    <col min="16" max="16" width="27.54296875" customWidth="1"/>
  </cols>
  <sheetData>
    <row r="1" spans="1:16" s="37" customFormat="1" ht="15.5" x14ac:dyDescent="0.45">
      <c r="A1" s="40" t="s">
        <v>63</v>
      </c>
      <c r="B1" s="41" t="s">
        <v>14</v>
      </c>
      <c r="C1" s="41" t="s">
        <v>3308</v>
      </c>
      <c r="D1" s="41" t="s">
        <v>11</v>
      </c>
      <c r="E1" s="42" t="s">
        <v>3309</v>
      </c>
      <c r="F1" s="43" t="s">
        <v>3311</v>
      </c>
      <c r="G1" s="44" t="s">
        <v>3310</v>
      </c>
      <c r="H1" s="43" t="s">
        <v>3312</v>
      </c>
      <c r="I1" s="42" t="s">
        <v>3314</v>
      </c>
      <c r="J1" s="42" t="s">
        <v>12</v>
      </c>
      <c r="K1" s="42" t="s">
        <v>69</v>
      </c>
      <c r="L1" s="45" t="s">
        <v>4127</v>
      </c>
      <c r="M1" s="42" t="s">
        <v>3321</v>
      </c>
      <c r="N1" s="41" t="s">
        <v>4121</v>
      </c>
      <c r="O1" s="41" t="s">
        <v>3313</v>
      </c>
      <c r="P1" s="41" t="s">
        <v>3126</v>
      </c>
    </row>
    <row r="2" spans="1:16" x14ac:dyDescent="0.35">
      <c r="A2" s="33">
        <f>VLOOKUP(B2,Bhuv!A$1:M$2939,11,FALSE)</f>
        <v>43994</v>
      </c>
      <c r="B2" s="29" t="s">
        <v>25</v>
      </c>
      <c r="C2" s="29">
        <v>1</v>
      </c>
      <c r="D2" s="29">
        <f>IFERROR(VLOOKUP(B2,Holdings!A$1:C$95,2,FALSE),0)</f>
        <v>130</v>
      </c>
      <c r="E2" s="34">
        <f>IFERROR(VLOOKUP(B2,Holdings!A$1:C$95,3,FALSE),0)</f>
        <v>46.957142857142856</v>
      </c>
      <c r="F2" s="29">
        <v>47</v>
      </c>
      <c r="G2" s="35">
        <f>VLOOKUP(B2,Bhuv!A$1:M$2939,6,FALSE)</f>
        <v>52.35</v>
      </c>
      <c r="H2" s="29">
        <v>57</v>
      </c>
      <c r="I2" s="34">
        <f>((G2 - VLOOKUP(B2,Bhuv!A$1:M$2939,8,FALSE))/G2)*100</f>
        <v>2.3877745940783188</v>
      </c>
      <c r="J2" s="34">
        <f>(G2*D2)-(E2*D2)</f>
        <v>701.07142857142844</v>
      </c>
      <c r="K2" s="34">
        <f>IFERROR(((G2-VLOOKUP(B2,Holdings!A$1:C$95,3,FALSE))/VLOOKUP(B2,Holdings!A$1:C$95,3,FALSE))*100,0)</f>
        <v>11.484636446607857</v>
      </c>
      <c r="L2" s="36">
        <f>IF((MM!J$2-(D2*E2)) &gt; MM!K$2,((MM!K$2)/G2),(((MM!J$2-(D2*E2)))/G2))</f>
        <v>76.802997134670477</v>
      </c>
      <c r="M2" s="34">
        <f t="shared" ref="M2:M45" si="0">IFERROR(((F2-E2)/E2)*100,0)</f>
        <v>9.1268634012781069E-2</v>
      </c>
      <c r="N2" s="29">
        <f>ROUND(((MM!K$2)/G2),0)</f>
        <v>77</v>
      </c>
      <c r="O2" s="29"/>
      <c r="P2" s="29"/>
    </row>
    <row r="3" spans="1:16" x14ac:dyDescent="0.35">
      <c r="A3" s="33">
        <f>VLOOKUP(B3,Bhuv!A$1:M$2939,11,FALSE)</f>
        <v>43994</v>
      </c>
      <c r="B3" s="29" t="s">
        <v>38</v>
      </c>
      <c r="C3" s="29">
        <v>1</v>
      </c>
      <c r="D3" s="29">
        <f>IFERROR(VLOOKUP(B3,Holdings!A$1:C$95,2,FALSE),0)</f>
        <v>1</v>
      </c>
      <c r="E3" s="34">
        <f>IFERROR(VLOOKUP(B3,Holdings!A$1:C$95,3,FALSE),0)</f>
        <v>16910.150000000001</v>
      </c>
      <c r="F3" s="29">
        <v>16000</v>
      </c>
      <c r="G3" s="35">
        <f>VLOOKUP(B3,Bhuv!A$1:M$2939,6,FALSE)</f>
        <v>16857.3</v>
      </c>
      <c r="H3" s="29">
        <v>17700</v>
      </c>
      <c r="I3" s="34">
        <f>((G3 - VLOOKUP(B3,Bhuv!A$1:M$2939,8,FALSE))/G3)*100</f>
        <v>2.4588753833650707</v>
      </c>
      <c r="J3" s="34">
        <f t="shared" ref="J3:J45" si="1">(G3*D3)-(E3*D3)</f>
        <v>-52.850000000002183</v>
      </c>
      <c r="K3" s="34">
        <f>IFERROR(((G3-VLOOKUP(B3,Holdings!A$1:C$95,3,FALSE))/VLOOKUP(B3,Holdings!A$1:C$95,3,FALSE))*100,0)</f>
        <v>-0.3125341880468368</v>
      </c>
      <c r="L3" s="36">
        <f>IF((MM!J$2-(D3*E3)) &gt; MM!K$2,((MM!K$2)/G3),(((MM!J$2-(D3*E3)))/G3))</f>
        <v>-0.28760473504060574</v>
      </c>
      <c r="M3" s="34">
        <f t="shared" si="0"/>
        <v>-5.3822704115575641</v>
      </c>
      <c r="N3" s="29">
        <f>ROUND(((MM!K$2)/G3),0)</f>
        <v>0</v>
      </c>
      <c r="O3" s="29"/>
      <c r="P3" s="29"/>
    </row>
    <row r="4" spans="1:16" x14ac:dyDescent="0.35">
      <c r="A4" s="33">
        <f>VLOOKUP(B4,Bhuv!A$1:M$2939,11,FALSE)</f>
        <v>43994</v>
      </c>
      <c r="B4" s="29" t="s">
        <v>42</v>
      </c>
      <c r="C4" s="29">
        <v>1</v>
      </c>
      <c r="D4" s="29">
        <f>IFERROR(VLOOKUP(B4,Holdings!A$1:C$95,2,FALSE),0)</f>
        <v>1</v>
      </c>
      <c r="E4" s="34">
        <f>IFERROR(VLOOKUP(B4,Holdings!A$1:C$95,3,FALSE),0)</f>
        <v>2374.25</v>
      </c>
      <c r="F4" s="29">
        <v>2250</v>
      </c>
      <c r="G4" s="35">
        <f>VLOOKUP(B4,Bhuv!A$1:M$2939,6,FALSE)</f>
        <v>2401.85</v>
      </c>
      <c r="H4" s="29">
        <v>2520</v>
      </c>
      <c r="I4" s="34">
        <f>((G4 - VLOOKUP(B4,Bhuv!A$1:M$2939,8,FALSE))/G4)*100</f>
        <v>3.8262172908383159</v>
      </c>
      <c r="J4" s="34">
        <f t="shared" si="1"/>
        <v>27.599999999999909</v>
      </c>
      <c r="K4" s="34">
        <f>IFERROR(((G4-VLOOKUP(B4,Holdings!A$1:C$95,3,FALSE))/VLOOKUP(B4,Holdings!A$1:C$95,3,FALSE))*100,0)</f>
        <v>1.1624723596925306</v>
      </c>
      <c r="L4" s="36">
        <f>IF((MM!J$2-(D4*E4)) &gt; MM!K$2,((MM!K$2)/G4),(((MM!J$2-(D4*E4)))/G4))</f>
        <v>1.6739750192559901</v>
      </c>
      <c r="M4" s="34">
        <f t="shared" si="0"/>
        <v>-5.2332315468042543</v>
      </c>
      <c r="N4" s="29">
        <f>ROUND(((MM!K$2)/G4),0)</f>
        <v>2</v>
      </c>
      <c r="O4" s="29"/>
      <c r="P4" s="29"/>
    </row>
    <row r="5" spans="1:16" x14ac:dyDescent="0.35">
      <c r="A5" s="33">
        <f>VLOOKUP(B5,Bhuv!A$1:M$2939,11,FALSE)</f>
        <v>43994</v>
      </c>
      <c r="B5" s="29" t="s">
        <v>51</v>
      </c>
      <c r="C5" s="29">
        <v>1</v>
      </c>
      <c r="D5" s="29">
        <f>IFERROR(VLOOKUP(B5,Holdings!A$1:C$95,2,FALSE),0)</f>
        <v>4</v>
      </c>
      <c r="E5" s="34">
        <f>IFERROR(VLOOKUP(B5,Holdings!A$1:C$95,3,FALSE),0)</f>
        <v>5692.1</v>
      </c>
      <c r="F5" s="29">
        <v>5300</v>
      </c>
      <c r="G5" s="35">
        <f>VLOOKUP(B5,Bhuv!A$1:M$2939,6,FALSE)</f>
        <v>5561.75</v>
      </c>
      <c r="H5" s="29">
        <v>5963</v>
      </c>
      <c r="I5" s="34">
        <f>((G5 - VLOOKUP(B5,Bhuv!A$1:M$2939,8,FALSE))/G5)*100</f>
        <v>2.4380815390839281</v>
      </c>
      <c r="J5" s="34">
        <f t="shared" si="1"/>
        <v>-521.40000000000146</v>
      </c>
      <c r="K5" s="34">
        <f>IFERROR(((G5-VLOOKUP(B5,Holdings!A$1:C$95,3,FALSE))/VLOOKUP(B5,Holdings!A$1:C$95,3,FALSE))*100,0)</f>
        <v>-2.2900159870698049</v>
      </c>
      <c r="L5" s="36">
        <f>IF((MM!J$2-(D5*E5)) &gt; MM!K$2,((MM!K$2)/G5),(((MM!J$2-(D5*E5)))/G5))</f>
        <v>-1.9250216748325621</v>
      </c>
      <c r="M5" s="34">
        <f t="shared" si="0"/>
        <v>-6.888494580207662</v>
      </c>
      <c r="N5" s="29">
        <f>ROUND(((MM!K$2)/G5),0)</f>
        <v>1</v>
      </c>
      <c r="O5" s="29"/>
      <c r="P5" s="29"/>
    </row>
    <row r="6" spans="1:16" x14ac:dyDescent="0.35">
      <c r="A6" s="33">
        <f>VLOOKUP(B6,Bhuv!A$1:M$2939,11,FALSE)</f>
        <v>43994</v>
      </c>
      <c r="B6" s="29" t="s">
        <v>52</v>
      </c>
      <c r="C6" s="29">
        <v>1</v>
      </c>
      <c r="D6" s="29">
        <f>IFERROR(VLOOKUP(B6,Holdings!A$1:C$95,2,FALSE),0)</f>
        <v>56</v>
      </c>
      <c r="E6" s="34">
        <f>IFERROR(VLOOKUP(B6,Holdings!A$1:C$95,3,FALSE),0)</f>
        <v>91.190909090909088</v>
      </c>
      <c r="F6" s="29">
        <v>93</v>
      </c>
      <c r="G6" s="35">
        <f>VLOOKUP(B6,Bhuv!A$1:M$2939,6,FALSE)</f>
        <v>94.95</v>
      </c>
      <c r="H6" s="29">
        <v>110</v>
      </c>
      <c r="I6" s="34">
        <f>((G6 - VLOOKUP(B6,Bhuv!A$1:M$2939,8,FALSE))/G6)*100</f>
        <v>1.4744602422327602</v>
      </c>
      <c r="J6" s="34">
        <f t="shared" si="1"/>
        <v>210.50909090909136</v>
      </c>
      <c r="K6" s="34">
        <f>IFERROR(((G6-VLOOKUP(B6,Holdings!A$1:C$95,3,FALSE))/VLOOKUP(B6,Holdings!A$1:C$95,3,FALSE))*100,0)</f>
        <v>4.1222211145449172</v>
      </c>
      <c r="L6" s="36">
        <f>IF((MM!J$2-(D6*E6)) &gt; MM!K$2,((MM!K$2)/G6),(((MM!J$2-(D6*E6)))/G6))</f>
        <v>42.344780410742487</v>
      </c>
      <c r="M6" s="34">
        <f t="shared" si="0"/>
        <v>1.9838500647991264</v>
      </c>
      <c r="N6" s="29">
        <f>ROUND(((MM!K$2)/G6),0)</f>
        <v>42</v>
      </c>
      <c r="O6" s="29"/>
      <c r="P6" s="29"/>
    </row>
    <row r="7" spans="1:16" x14ac:dyDescent="0.35">
      <c r="A7" s="33">
        <f>VLOOKUP(B7,Bhuv!A$1:M$2939,11,FALSE)</f>
        <v>43994</v>
      </c>
      <c r="B7" s="29" t="s">
        <v>28</v>
      </c>
      <c r="C7" s="29">
        <v>1</v>
      </c>
      <c r="D7" s="29">
        <f>IFERROR(VLOOKUP(B7,Holdings!A$1:C$95,2,FALSE),0)</f>
        <v>0</v>
      </c>
      <c r="E7" s="34">
        <f>IFERROR(VLOOKUP(B7,Holdings!A$1:C$95,3,FALSE),0)</f>
        <v>0</v>
      </c>
      <c r="F7" s="29">
        <v>1924</v>
      </c>
      <c r="G7" s="35">
        <f>VLOOKUP(B7,Bhuv!A$1:M$2939,6,FALSE)</f>
        <v>2450.15</v>
      </c>
      <c r="H7" s="29">
        <v>2573</v>
      </c>
      <c r="I7" s="34">
        <f>((G7 - VLOOKUP(B7,Bhuv!A$1:M$2939,8,FALSE))/G7)*100</f>
        <v>4.5405383343876906</v>
      </c>
      <c r="J7" s="34">
        <f t="shared" si="1"/>
        <v>0</v>
      </c>
      <c r="K7" s="34">
        <f>IFERROR(((G7-VLOOKUP(B7,Holdings!A$1:C$95,3,FALSE))/VLOOKUP(B7,Holdings!A$1:C$95,3,FALSE))*100,0)</f>
        <v>0</v>
      </c>
      <c r="L7" s="36">
        <f>IF((MM!J$2-(D7*E7)) &gt; MM!K$2,((MM!K$2)/G7),(((MM!J$2-(D7*E7)))/G7))</f>
        <v>1.6409758178070728</v>
      </c>
      <c r="M7" s="34">
        <f t="shared" si="0"/>
        <v>0</v>
      </c>
      <c r="N7" s="29">
        <f>ROUND(((MM!K$2)/G7),0)</f>
        <v>2</v>
      </c>
      <c r="O7" s="29"/>
      <c r="P7" s="29"/>
    </row>
    <row r="8" spans="1:16" x14ac:dyDescent="0.35">
      <c r="A8" s="33">
        <f>VLOOKUP(B8,Bhuv!A$1:M$2939,11,FALSE)</f>
        <v>43994</v>
      </c>
      <c r="B8" s="29" t="s">
        <v>616</v>
      </c>
      <c r="C8" s="29">
        <v>1</v>
      </c>
      <c r="D8" s="29">
        <f>IFERROR(VLOOKUP(B8,Holdings!A$1:C$95,2,FALSE),0)</f>
        <v>0</v>
      </c>
      <c r="E8" s="34">
        <f>IFERROR(VLOOKUP(B8,Holdings!A$1:C$95,3,FALSE),0)</f>
        <v>0</v>
      </c>
      <c r="F8" s="29">
        <v>122</v>
      </c>
      <c r="G8" s="35">
        <f>VLOOKUP(B8,Bhuv!A$1:M$2939,6,FALSE)</f>
        <v>160.05000000000001</v>
      </c>
      <c r="H8" s="29">
        <v>165</v>
      </c>
      <c r="I8" s="34">
        <f>((G8 - VLOOKUP(B8,Bhuv!A$1:M$2939,8,FALSE))/G8)*100</f>
        <v>5.6857232114964216</v>
      </c>
      <c r="J8" s="34">
        <f t="shared" si="1"/>
        <v>0</v>
      </c>
      <c r="K8" s="34">
        <f>IFERROR(((G8-VLOOKUP(B8,Holdings!A$1:C$95,3,FALSE))/VLOOKUP(B8,Holdings!A$1:C$95,3,FALSE))*100,0)</f>
        <v>0</v>
      </c>
      <c r="L8" s="36">
        <f>IF((MM!J$2-(D8*E8)) &gt; MM!K$2,((MM!K$2)/G8),(((MM!J$2-(D8*E8)))/G8))</f>
        <v>25.121130271790062</v>
      </c>
      <c r="M8" s="34">
        <f t="shared" si="0"/>
        <v>0</v>
      </c>
      <c r="N8" s="29">
        <f>ROUND(((MM!K$2)/G8),0)</f>
        <v>25</v>
      </c>
      <c r="O8" s="29"/>
      <c r="P8" s="29"/>
    </row>
    <row r="9" spans="1:16" x14ac:dyDescent="0.35">
      <c r="A9" s="33">
        <f>VLOOKUP(B9,Bhuv!A$1:M$2939,11,FALSE)</f>
        <v>43994</v>
      </c>
      <c r="B9" s="29" t="s">
        <v>41</v>
      </c>
      <c r="C9" s="29">
        <v>1</v>
      </c>
      <c r="D9" s="29">
        <f>IFERROR(VLOOKUP(B9,Holdings!A$1:C$95,2,FALSE),0)</f>
        <v>3</v>
      </c>
      <c r="E9" s="34">
        <f>IFERROR(VLOOKUP(B9,Holdings!A$1:C$95,3,FALSE),0)</f>
        <v>929.75</v>
      </c>
      <c r="F9" s="29">
        <v>936</v>
      </c>
      <c r="G9" s="35">
        <f>VLOOKUP(B9,Bhuv!A$1:M$2939,6,FALSE)</f>
        <v>982.75</v>
      </c>
      <c r="H9" s="29">
        <v>1095</v>
      </c>
      <c r="I9" s="34">
        <f>((G9 - VLOOKUP(B9,Bhuv!A$1:M$2939,8,FALSE))/G9)*100</f>
        <v>1.4398371915543096</v>
      </c>
      <c r="J9" s="34">
        <f t="shared" si="1"/>
        <v>159</v>
      </c>
      <c r="K9" s="34">
        <f>IFERROR(((G9-VLOOKUP(B9,Holdings!A$1:C$95,3,FALSE))/VLOOKUP(B9,Holdings!A$1:C$95,3,FALSE))*100,0)</f>
        <v>5.7004571121269159</v>
      </c>
      <c r="L9" s="36">
        <f>IF((MM!J$2-(D9*E9)) &gt; MM!K$2,((MM!K$2)/G9),(((MM!J$2-(D9*E9)))/G9))</f>
        <v>4.0912102772831336</v>
      </c>
      <c r="M9" s="34">
        <f t="shared" si="0"/>
        <v>0.67222371605270237</v>
      </c>
      <c r="N9" s="29">
        <f>ROUND(((MM!K$2)/G9),0)</f>
        <v>4</v>
      </c>
      <c r="O9" s="29"/>
      <c r="P9" s="29"/>
    </row>
    <row r="10" spans="1:16" x14ac:dyDescent="0.35">
      <c r="A10" s="33">
        <f>VLOOKUP(B10,Bhuv!A$1:M$2939,11,FALSE)</f>
        <v>43994</v>
      </c>
      <c r="B10" s="29" t="s">
        <v>45</v>
      </c>
      <c r="C10" s="29">
        <v>1</v>
      </c>
      <c r="D10" s="29">
        <f>IFERROR(VLOOKUP(B10,Holdings!A$1:C$95,2,FALSE),0)</f>
        <v>18</v>
      </c>
      <c r="E10" s="34">
        <f>IFERROR(VLOOKUP(B10,Holdings!A$1:C$95,3,FALSE),0)</f>
        <v>344.43333333333334</v>
      </c>
      <c r="F10" s="29">
        <v>320</v>
      </c>
      <c r="G10" s="35">
        <f>VLOOKUP(B10,Bhuv!A$1:M$2939,6,FALSE)</f>
        <v>344.2</v>
      </c>
      <c r="H10" s="29">
        <v>370</v>
      </c>
      <c r="I10" s="34">
        <f>((G10 - VLOOKUP(B10,Bhuv!A$1:M$2939,8,FALSE))/G10)*100</f>
        <v>0.85705984892504028</v>
      </c>
      <c r="J10" s="34">
        <f t="shared" si="1"/>
        <v>-4.2000000000007276</v>
      </c>
      <c r="K10" s="34">
        <f>IFERROR(((G10-VLOOKUP(B10,Holdings!A$1:C$95,3,FALSE))/VLOOKUP(B10,Holdings!A$1:C$95,3,FALSE))*100,0)</f>
        <v>-6.7744120778094011E-2</v>
      </c>
      <c r="L10" s="36">
        <f>IF((MM!J$2-(D10*E10)) &gt; MM!K$2,((MM!K$2)/G10),(((MM!J$2-(D10*E10)))/G10))</f>
        <v>11.681106624055781</v>
      </c>
      <c r="M10" s="34">
        <f t="shared" si="0"/>
        <v>-7.093777218619957</v>
      </c>
      <c r="N10" s="29">
        <f>ROUND(((MM!K$2)/G10),0)</f>
        <v>12</v>
      </c>
      <c r="O10" s="29"/>
      <c r="P10" s="29"/>
    </row>
    <row r="11" spans="1:16" x14ac:dyDescent="0.35">
      <c r="A11" s="33">
        <f>VLOOKUP(B11,Bhuv!A$1:M$2939,11,FALSE)</f>
        <v>43994</v>
      </c>
      <c r="B11" s="29" t="s">
        <v>1607</v>
      </c>
      <c r="C11" s="29">
        <v>1</v>
      </c>
      <c r="D11" s="29">
        <f>IFERROR(VLOOKUP(B11,Holdings!A$1:C$95,2,FALSE),0)</f>
        <v>0</v>
      </c>
      <c r="E11" s="34">
        <f>IFERROR(VLOOKUP(B11,Holdings!A$1:C$95,3,FALSE),0)</f>
        <v>0</v>
      </c>
      <c r="F11" s="29">
        <v>1233</v>
      </c>
      <c r="G11" s="35">
        <f>VLOOKUP(B11,Bhuv!A$1:M$2939,6,FALSE)</f>
        <v>1279.8</v>
      </c>
      <c r="H11" s="29">
        <v>1384</v>
      </c>
      <c r="I11" s="34">
        <f>((G11 - VLOOKUP(B11,Bhuv!A$1:M$2939,8,FALSE))/G11)*100</f>
        <v>-1.4767932489451547</v>
      </c>
      <c r="J11" s="34">
        <f t="shared" si="1"/>
        <v>0</v>
      </c>
      <c r="K11" s="34">
        <f>IFERROR(((G11-VLOOKUP(B11,Holdings!A$1:C$95,3,FALSE))/VLOOKUP(B11,Holdings!A$1:C$95,3,FALSE))*100,0)</f>
        <v>0</v>
      </c>
      <c r="L11" s="36">
        <f>IF((MM!J$2-(D11*E11)) &gt; MM!K$2,((MM!K$2)/G11),(((MM!J$2-(D11*E11)))/G11))</f>
        <v>3.1416134552273789</v>
      </c>
      <c r="M11" s="34">
        <f t="shared" si="0"/>
        <v>0</v>
      </c>
      <c r="N11" s="29">
        <f>ROUND(((MM!K$2)/G11),0)</f>
        <v>3</v>
      </c>
      <c r="O11" s="29"/>
      <c r="P11" s="29"/>
    </row>
    <row r="12" spans="1:16" x14ac:dyDescent="0.35">
      <c r="A12" s="33">
        <f>VLOOKUP(B12,Bhuv!A$1:M$2939,11,FALSE)</f>
        <v>43994</v>
      </c>
      <c r="B12" s="29" t="s">
        <v>1721</v>
      </c>
      <c r="C12" s="29">
        <v>1</v>
      </c>
      <c r="D12" s="29">
        <f>IFERROR(VLOOKUP(B12,Holdings!A$1:C$95,2,FALSE),0)</f>
        <v>0</v>
      </c>
      <c r="E12" s="34">
        <f>IFERROR(VLOOKUP(B12,Holdings!A$1:C$95,3,FALSE),0)</f>
        <v>0</v>
      </c>
      <c r="F12" s="29">
        <v>140</v>
      </c>
      <c r="G12" s="35">
        <f>VLOOKUP(B12,Bhuv!A$1:M$2939,6,FALSE)</f>
        <v>163.6</v>
      </c>
      <c r="H12" s="29">
        <v>182</v>
      </c>
      <c r="I12" s="34">
        <f>((G12 - VLOOKUP(B12,Bhuv!A$1:M$2939,8,FALSE))/G12)*100</f>
        <v>4.0953545232273774</v>
      </c>
      <c r="J12" s="34">
        <f t="shared" si="1"/>
        <v>0</v>
      </c>
      <c r="K12" s="34">
        <f>IFERROR(((G12-VLOOKUP(B12,Holdings!A$1:C$95,3,FALSE))/VLOOKUP(B12,Holdings!A$1:C$95,3,FALSE))*100,0)</f>
        <v>0</v>
      </c>
      <c r="L12" s="36">
        <f>IF((MM!J$2-(D12*E12)) &gt; MM!K$2,((MM!K$2)/G12),(((MM!J$2-(D12*E12)))/G12))</f>
        <v>24.576020171149143</v>
      </c>
      <c r="M12" s="34">
        <f t="shared" si="0"/>
        <v>0</v>
      </c>
      <c r="N12" s="29">
        <f>ROUND(((MM!K$2)/G12),0)</f>
        <v>25</v>
      </c>
      <c r="O12" s="29" t="s">
        <v>4123</v>
      </c>
      <c r="P12" s="29" t="s">
        <v>4122</v>
      </c>
    </row>
    <row r="13" spans="1:16" x14ac:dyDescent="0.35">
      <c r="A13" s="33">
        <f>VLOOKUP(B13,Bhuv!A$1:M$2939,11,FALSE)</f>
        <v>43994</v>
      </c>
      <c r="B13" s="29" t="s">
        <v>31</v>
      </c>
      <c r="C13" s="29">
        <v>2</v>
      </c>
      <c r="D13" s="29">
        <f>IFERROR(VLOOKUP(B13,Holdings!A$1:C$95,2,FALSE),0)</f>
        <v>3</v>
      </c>
      <c r="E13" s="34">
        <f>IFERROR(VLOOKUP(B13,Holdings!A$1:C$95,3,FALSE),0)</f>
        <v>1421.15</v>
      </c>
      <c r="F13" s="29">
        <v>1320</v>
      </c>
      <c r="G13" s="35">
        <f>VLOOKUP(B13,Bhuv!A$1:M$2939,6,FALSE)</f>
        <v>1366.35</v>
      </c>
      <c r="H13" s="29">
        <v>1430</v>
      </c>
      <c r="I13" s="34">
        <f>((G13 - VLOOKUP(B13,Bhuv!A$1:M$2939,8,FALSE))/G13)*100</f>
        <v>1.9284956270355262</v>
      </c>
      <c r="J13" s="34">
        <f t="shared" si="1"/>
        <v>-164.40000000000146</v>
      </c>
      <c r="K13" s="34">
        <f>IFERROR(((G13-VLOOKUP(B13,Holdings!A$1:C$95,3,FALSE))/VLOOKUP(B13,Holdings!A$1:C$95,3,FALSE))*100,0)</f>
        <v>-3.856032086690369</v>
      </c>
      <c r="L13" s="36">
        <f>IF((MM!J$2-(D13*E13)) &gt; MM!K$2,((MM!K$2)/G13),(((MM!J$2-(D13*E13)))/G13))</f>
        <v>2.9426112635854649</v>
      </c>
      <c r="M13" s="34">
        <f t="shared" si="0"/>
        <v>-7.1174752841009106</v>
      </c>
      <c r="N13" s="29">
        <f>ROUND(((MM!K$2)/G13),0)</f>
        <v>3</v>
      </c>
      <c r="O13" s="29"/>
      <c r="P13" s="29"/>
    </row>
    <row r="14" spans="1:16" x14ac:dyDescent="0.35">
      <c r="A14" s="33">
        <f>VLOOKUP(B14,Bhuv!A$1:M$2939,11,FALSE)</f>
        <v>43994</v>
      </c>
      <c r="B14" s="29" t="s">
        <v>59</v>
      </c>
      <c r="C14" s="29">
        <v>2</v>
      </c>
      <c r="D14" s="29">
        <f>IFERROR(VLOOKUP(B14,Holdings!A$1:C$95,2,FALSE),0)</f>
        <v>4</v>
      </c>
      <c r="E14" s="34">
        <f>IFERROR(VLOOKUP(B14,Holdings!A$1:C$95,3,FALSE),0)</f>
        <v>573.20000000000005</v>
      </c>
      <c r="F14" s="29">
        <v>534</v>
      </c>
      <c r="G14" s="35">
        <f>VLOOKUP(B14,Bhuv!A$1:M$2939,6,FALSE)</f>
        <v>553.65</v>
      </c>
      <c r="H14" s="29">
        <v>582</v>
      </c>
      <c r="I14" s="34">
        <f>((G14 - VLOOKUP(B14,Bhuv!A$1:M$2939,8,FALSE))/G14)*100</f>
        <v>-0.37027002618984345</v>
      </c>
      <c r="J14" s="34">
        <f t="shared" si="1"/>
        <v>-78.200000000000273</v>
      </c>
      <c r="K14" s="34">
        <f>IFERROR(((G14-VLOOKUP(B14,Holdings!A$1:C$95,3,FALSE))/VLOOKUP(B14,Holdings!A$1:C$95,3,FALSE))*100,0)</f>
        <v>-3.4106769016050356</v>
      </c>
      <c r="L14" s="36">
        <f>IF((MM!J$2-(D14*E14)) &gt; MM!K$2,((MM!K$2)/G14),(((MM!J$2-(D14*E14)))/G14))</f>
        <v>7.2620552695746401</v>
      </c>
      <c r="M14" s="34">
        <f t="shared" si="0"/>
        <v>-6.8387997208653255</v>
      </c>
      <c r="N14" s="29">
        <f>ROUND(((MM!K$2)/G14),0)</f>
        <v>7</v>
      </c>
      <c r="O14" s="29"/>
      <c r="P14" s="29"/>
    </row>
    <row r="15" spans="1:16" x14ac:dyDescent="0.35">
      <c r="A15" s="33">
        <f>VLOOKUP(B15,Bhuv!A$1:M$2939,11,FALSE)</f>
        <v>43994</v>
      </c>
      <c r="B15" s="29" t="s">
        <v>43</v>
      </c>
      <c r="C15" s="29">
        <v>2</v>
      </c>
      <c r="D15" s="29">
        <f>IFERROR(VLOOKUP(B15,Holdings!A$1:C$95,2,FALSE),0)</f>
        <v>0</v>
      </c>
      <c r="E15" s="34">
        <f>IFERROR(VLOOKUP(B15,Holdings!A$1:C$95,3,FALSE),0)</f>
        <v>0</v>
      </c>
      <c r="F15" s="29">
        <v>1970</v>
      </c>
      <c r="G15" s="35">
        <f>VLOOKUP(B15,Bhuv!A$1:M$2939,6,FALSE)</f>
        <v>2107.25</v>
      </c>
      <c r="H15" s="29">
        <v>2145</v>
      </c>
      <c r="I15" s="34">
        <f>((G15 - VLOOKUP(B15,Bhuv!A$1:M$2939,8,FALSE))/G15)*100</f>
        <v>1.6609324949574518E-2</v>
      </c>
      <c r="J15" s="34">
        <f t="shared" si="1"/>
        <v>0</v>
      </c>
      <c r="K15" s="34">
        <f>IFERROR(((G15-VLOOKUP(B15,Holdings!A$1:C$95,3,FALSE))/VLOOKUP(B15,Holdings!A$1:C$95,3,FALSE))*100,0)</f>
        <v>0</v>
      </c>
      <c r="L15" s="36">
        <f>IF((MM!J$2-(D15*E15)) &gt; MM!K$2,((MM!K$2)/G15),(((MM!J$2-(D15*E15)))/G15))</f>
        <v>1.9080018507533514</v>
      </c>
      <c r="M15" s="34">
        <f t="shared" si="0"/>
        <v>0</v>
      </c>
      <c r="N15" s="29">
        <f>ROUND(((MM!K$2)/G15),0)</f>
        <v>2</v>
      </c>
      <c r="O15" s="29"/>
      <c r="P15" s="29"/>
    </row>
    <row r="16" spans="1:16" x14ac:dyDescent="0.35">
      <c r="A16" s="33">
        <f>VLOOKUP(B16,Bhuv!A$1:M$2939,11,FALSE)</f>
        <v>43994</v>
      </c>
      <c r="B16" s="29" t="s">
        <v>48</v>
      </c>
      <c r="C16" s="29">
        <v>2</v>
      </c>
      <c r="D16" s="29">
        <f>IFERROR(VLOOKUP(B16,Holdings!A$1:C$95,2,FALSE),0)</f>
        <v>22</v>
      </c>
      <c r="E16" s="34">
        <f>IFERROR(VLOOKUP(B16,Holdings!A$1:C$95,3,FALSE),0)</f>
        <v>195.1409090909091</v>
      </c>
      <c r="F16" s="29">
        <v>185</v>
      </c>
      <c r="G16" s="35">
        <f>VLOOKUP(B16,Bhuv!A$1:M$2939,6,FALSE)</f>
        <v>193.9</v>
      </c>
      <c r="H16" s="29">
        <v>210</v>
      </c>
      <c r="I16" s="34">
        <f>((G16 - VLOOKUP(B16,Bhuv!A$1:M$2939,8,FALSE))/G16)*100</f>
        <v>-0.18050541516245194</v>
      </c>
      <c r="J16" s="34">
        <f t="shared" si="1"/>
        <v>-27.300000000000182</v>
      </c>
      <c r="K16" s="34">
        <f>IFERROR(((G16-VLOOKUP(B16,Holdings!A$1:C$95,3,FALSE))/VLOOKUP(B16,Holdings!A$1:C$95,3,FALSE))*100,0)</f>
        <v>-0.63590412522420114</v>
      </c>
      <c r="L16" s="36">
        <f>IF((MM!J$2-(D16*E16)) &gt; MM!K$2,((MM!K$2)/G16),(((MM!J$2-(D16*E16)))/G16))</f>
        <v>20.735620938628156</v>
      </c>
      <c r="M16" s="34">
        <f t="shared" si="0"/>
        <v>-5.1967110013743056</v>
      </c>
      <c r="N16" s="29">
        <f>ROUND(((MM!K$2)/G16),0)</f>
        <v>21</v>
      </c>
      <c r="O16" s="29"/>
      <c r="P16" s="29"/>
    </row>
    <row r="17" spans="1:16" x14ac:dyDescent="0.35">
      <c r="A17" s="33">
        <f>VLOOKUP(B17,Bhuv!A$1:M$2939,11,FALSE)</f>
        <v>43994</v>
      </c>
      <c r="B17" s="29" t="s">
        <v>50</v>
      </c>
      <c r="C17" s="29">
        <v>2</v>
      </c>
      <c r="D17" s="29">
        <f>IFERROR(VLOOKUP(B17,Holdings!A$1:C$95,2,FALSE),0)</f>
        <v>14</v>
      </c>
      <c r="E17" s="34">
        <f>IFERROR(VLOOKUP(B17,Holdings!A$1:C$95,3,FALSE),0)</f>
        <v>323.20714285714286</v>
      </c>
      <c r="F17" s="29">
        <v>314</v>
      </c>
      <c r="G17" s="35">
        <f>VLOOKUP(B17,Bhuv!A$1:M$2939,6,FALSE)</f>
        <v>332.8</v>
      </c>
      <c r="H17" s="29">
        <v>350</v>
      </c>
      <c r="I17" s="34">
        <f>((G17 - VLOOKUP(B17,Bhuv!A$1:M$2939,8,FALSE))/G17)*100</f>
        <v>0.64603365384616407</v>
      </c>
      <c r="J17" s="34">
        <f t="shared" si="1"/>
        <v>134.30000000000018</v>
      </c>
      <c r="K17" s="34">
        <f>IFERROR(((G17-VLOOKUP(B17,Holdings!A$1:C$95,3,FALSE))/VLOOKUP(B17,Holdings!A$1:C$95,3,FALSE))*100,0)</f>
        <v>2.9680213927379651</v>
      </c>
      <c r="L17" s="36">
        <f>IF((MM!J$2-(D17*E17)) &gt; MM!K$2,((MM!K$2)/G17),(((MM!J$2-(D17*E17)))/G17))</f>
        <v>12.081240685096152</v>
      </c>
      <c r="M17" s="34">
        <f t="shared" si="0"/>
        <v>-2.8486817388229566</v>
      </c>
      <c r="N17" s="29">
        <f>ROUND(((MM!K$2)/G17),0)</f>
        <v>12</v>
      </c>
      <c r="O17" s="29"/>
      <c r="P17" s="29"/>
    </row>
    <row r="18" spans="1:16" x14ac:dyDescent="0.35">
      <c r="A18" s="33">
        <f>VLOOKUP(B18,Bhuv!A$1:M$2939,11,FALSE)</f>
        <v>43994</v>
      </c>
      <c r="B18" s="29" t="s">
        <v>47</v>
      </c>
      <c r="C18" s="29">
        <v>2</v>
      </c>
      <c r="D18" s="29">
        <f>IFERROR(VLOOKUP(B18,Holdings!A$1:C$95,2,FALSE),0)</f>
        <v>2</v>
      </c>
      <c r="E18" s="34">
        <f>IFERROR(VLOOKUP(B18,Holdings!A$1:C$95,3,FALSE),0)</f>
        <v>675.1</v>
      </c>
      <c r="F18" s="29">
        <v>674</v>
      </c>
      <c r="G18" s="35">
        <f>VLOOKUP(B18,Bhuv!A$1:M$2939,6,FALSE)</f>
        <v>692.05</v>
      </c>
      <c r="H18" s="29">
        <v>751</v>
      </c>
      <c r="I18" s="34">
        <f>((G18 - VLOOKUP(B18,Bhuv!A$1:M$2939,8,FALSE))/G18)*100</f>
        <v>-1.7195289357705499</v>
      </c>
      <c r="J18" s="34">
        <f t="shared" si="1"/>
        <v>33.899999999999864</v>
      </c>
      <c r="K18" s="34">
        <f>IFERROR(((G18-VLOOKUP(B18,Holdings!A$1:C$95,3,FALSE))/VLOOKUP(B18,Holdings!A$1:C$95,3,FALSE))*100,0)</f>
        <v>2.5107391497555818</v>
      </c>
      <c r="L18" s="36">
        <f>IF((MM!J$2-(D18*E18)) &gt; MM!K$2,((MM!K$2)/G18),(((MM!J$2-(D18*E18)))/G18))</f>
        <v>5.8097491510728991</v>
      </c>
      <c r="M18" s="34">
        <f t="shared" si="0"/>
        <v>-0.16293882387794736</v>
      </c>
      <c r="N18" s="29">
        <f>ROUND(((MM!K$2)/G18),0)</f>
        <v>6</v>
      </c>
      <c r="O18" s="29"/>
      <c r="P18" s="29"/>
    </row>
    <row r="19" spans="1:16" x14ac:dyDescent="0.35">
      <c r="A19" s="33">
        <f>VLOOKUP(B19,Bhuv!A$1:M$2939,11,FALSE)</f>
        <v>43994</v>
      </c>
      <c r="B19" s="29" t="s">
        <v>2779</v>
      </c>
      <c r="C19" s="29">
        <v>2</v>
      </c>
      <c r="D19" s="29">
        <f>IFERROR(VLOOKUP(B19,Holdings!A$1:C$95,2,FALSE),0)</f>
        <v>0</v>
      </c>
      <c r="E19" s="34">
        <f>IFERROR(VLOOKUP(B19,Holdings!A$1:C$95,3,FALSE),0)</f>
        <v>0</v>
      </c>
      <c r="F19" s="29">
        <v>1984</v>
      </c>
      <c r="G19" s="35">
        <f>VLOOKUP(B19,Bhuv!A$1:M$2939,6,FALSE)</f>
        <v>2039.5</v>
      </c>
      <c r="H19" s="29">
        <v>2115</v>
      </c>
      <c r="I19" s="34">
        <f>((G19 - VLOOKUP(B19,Bhuv!A$1:M$2939,8,FALSE))/G19)*100</f>
        <v>-1.3802402549644566</v>
      </c>
      <c r="J19" s="34">
        <f t="shared" si="1"/>
        <v>0</v>
      </c>
      <c r="K19" s="34">
        <f>IFERROR(((G19-VLOOKUP(B19,Holdings!A$1:C$95,3,FALSE))/VLOOKUP(B19,Holdings!A$1:C$95,3,FALSE))*100,0)</f>
        <v>0</v>
      </c>
      <c r="L19" s="36">
        <f>IF((MM!J$2-(D19*E19)) &gt; MM!K$2,((MM!K$2)/G19),(((MM!J$2-(D19*E19)))/G19))</f>
        <v>1.9713836234371167</v>
      </c>
      <c r="M19" s="34">
        <f t="shared" si="0"/>
        <v>0</v>
      </c>
      <c r="N19" s="29">
        <f>ROUND(((MM!K$2)/G19),0)</f>
        <v>2</v>
      </c>
      <c r="O19" s="29"/>
      <c r="P19" s="29"/>
    </row>
    <row r="20" spans="1:16" x14ac:dyDescent="0.35">
      <c r="A20" s="33">
        <f>VLOOKUP(B20,Bhuv!A$1:M$2939,11,FALSE)</f>
        <v>43994</v>
      </c>
      <c r="B20" s="29" t="s">
        <v>3074</v>
      </c>
      <c r="C20" s="29">
        <v>2</v>
      </c>
      <c r="D20" s="29">
        <f>IFERROR(VLOOKUP(B20,Holdings!A$1:C$95,2,FALSE),0)</f>
        <v>0</v>
      </c>
      <c r="E20" s="34">
        <f>IFERROR(VLOOKUP(B20,Holdings!A$1:C$95,3,FALSE),0)</f>
        <v>0</v>
      </c>
      <c r="F20" s="29">
        <v>176</v>
      </c>
      <c r="G20" s="35">
        <f>VLOOKUP(B20,Bhuv!A$1:M$2939,6,FALSE)</f>
        <v>207.9</v>
      </c>
      <c r="H20" s="29">
        <v>232</v>
      </c>
      <c r="I20" s="34">
        <f>((G20 - VLOOKUP(B20,Bhuv!A$1:M$2939,8,FALSE))/G20)*100</f>
        <v>-2.405002405002405</v>
      </c>
      <c r="J20" s="34">
        <f t="shared" si="1"/>
        <v>0</v>
      </c>
      <c r="K20" s="34">
        <f>IFERROR(((G20-VLOOKUP(B20,Holdings!A$1:C$95,3,FALSE))/VLOOKUP(B20,Holdings!A$1:C$95,3,FALSE))*100,0)</f>
        <v>0</v>
      </c>
      <c r="L20" s="36">
        <f>IF((MM!J$2-(D20*E20)) &gt; MM!K$2,((MM!K$2)/G20),(((MM!J$2-(D20*E20)))/G20))</f>
        <v>19.339282828282826</v>
      </c>
      <c r="M20" s="34">
        <f t="shared" si="0"/>
        <v>0</v>
      </c>
      <c r="N20" s="29">
        <f>ROUND(((MM!K$2)/G20),0)</f>
        <v>19</v>
      </c>
      <c r="O20" s="29"/>
      <c r="P20" s="29"/>
    </row>
    <row r="21" spans="1:16" x14ac:dyDescent="0.35">
      <c r="A21" s="33">
        <f>VLOOKUP(B21,Bhuv!A$1:M$2939,11,FALSE)</f>
        <v>43994</v>
      </c>
      <c r="B21" s="29" t="s">
        <v>2268</v>
      </c>
      <c r="C21" s="29">
        <v>2</v>
      </c>
      <c r="D21" s="29">
        <f>IFERROR(VLOOKUP(B21,Holdings!A$1:C$95,2,FALSE),0)</f>
        <v>0</v>
      </c>
      <c r="E21" s="34">
        <f>IFERROR(VLOOKUP(B21,Holdings!A$1:C$95,3,FALSE),0)</f>
        <v>0</v>
      </c>
      <c r="F21" s="29">
        <v>966</v>
      </c>
      <c r="G21" s="35">
        <f>VLOOKUP(B21,Bhuv!A$1:M$2939,6,FALSE)</f>
        <v>1029.8499999999999</v>
      </c>
      <c r="H21" s="29">
        <v>1247</v>
      </c>
      <c r="I21" s="34">
        <f>((G21 - VLOOKUP(B21,Bhuv!A$1:M$2939,8,FALSE))/G21)*100</f>
        <v>-2.4469582948973199</v>
      </c>
      <c r="J21" s="34">
        <f t="shared" si="1"/>
        <v>0</v>
      </c>
      <c r="K21" s="34">
        <f>IFERROR(((G21-VLOOKUP(B21,Holdings!A$1:C$95,3,FALSE))/VLOOKUP(B21,Holdings!A$1:C$95,3,FALSE))*100,0)</f>
        <v>0</v>
      </c>
      <c r="L21" s="36">
        <f>IF((MM!J$2-(D21*E21)) &gt; MM!K$2,((MM!K$2)/G21),(((MM!J$2-(D21*E21)))/G21))</f>
        <v>3.9040995290576297</v>
      </c>
      <c r="M21" s="34">
        <f t="shared" si="0"/>
        <v>0</v>
      </c>
      <c r="N21" s="29">
        <f>ROUND(((MM!K$2)/G21),0)</f>
        <v>4</v>
      </c>
      <c r="O21" s="29" t="s">
        <v>4120</v>
      </c>
      <c r="P21" s="29"/>
    </row>
    <row r="22" spans="1:16" x14ac:dyDescent="0.35">
      <c r="A22" s="33">
        <f>VLOOKUP(B22,Bhuv!A$1:M$2939,11,FALSE)</f>
        <v>43994</v>
      </c>
      <c r="B22" s="29" t="s">
        <v>1399</v>
      </c>
      <c r="C22" s="29">
        <v>2</v>
      </c>
      <c r="D22" s="29">
        <f>IFERROR(VLOOKUP(B22,Holdings!A$1:C$95,2,FALSE),0)</f>
        <v>0</v>
      </c>
      <c r="E22" s="34">
        <f>IFERROR(VLOOKUP(B22,Holdings!A$1:C$95,3,FALSE),0)</f>
        <v>0</v>
      </c>
      <c r="F22" s="29">
        <v>74</v>
      </c>
      <c r="G22" s="35">
        <f>VLOOKUP(B22,Bhuv!A$1:M$2939,6,FALSE)</f>
        <v>88.3</v>
      </c>
      <c r="H22" s="29">
        <v>93</v>
      </c>
      <c r="I22" s="34">
        <f>((G22 - VLOOKUP(B22,Bhuv!A$1:M$2939,8,FALSE))/G22)*100</f>
        <v>-5.6625141562850693E-2</v>
      </c>
      <c r="J22" s="34">
        <f t="shared" si="1"/>
        <v>0</v>
      </c>
      <c r="K22" s="34">
        <f>IFERROR(((G22-VLOOKUP(B22,Holdings!A$1:C$95,3,FALSE))/VLOOKUP(B22,Holdings!A$1:C$95,3,FALSE))*100,0)</f>
        <v>0</v>
      </c>
      <c r="L22" s="36">
        <f>IF((MM!J$2-(D22*E22)) &gt; MM!K$2,((MM!K$2)/G22),(((MM!J$2-(D22*E22)))/G22))</f>
        <v>45.533826727066817</v>
      </c>
      <c r="M22" s="34">
        <f t="shared" si="0"/>
        <v>0</v>
      </c>
      <c r="N22" s="29">
        <f>ROUND(((MM!K$2)/G22),0)</f>
        <v>46</v>
      </c>
      <c r="O22" s="25"/>
      <c r="P22" s="29" t="s">
        <v>4125</v>
      </c>
    </row>
    <row r="23" spans="1:16" x14ac:dyDescent="0.35">
      <c r="A23" s="33">
        <f>VLOOKUP(B23,Bhuv!A$1:M$2939,11,FALSE)</f>
        <v>43994</v>
      </c>
      <c r="B23" s="29" t="s">
        <v>1190</v>
      </c>
      <c r="C23" s="29">
        <v>3</v>
      </c>
      <c r="D23" s="29">
        <f>IFERROR(VLOOKUP(B23,Holdings!A$1:C$95,2,FALSE),0)</f>
        <v>0</v>
      </c>
      <c r="E23" s="34">
        <f>IFERROR(VLOOKUP(B23,Holdings!A$1:C$95,3,FALSE),0)</f>
        <v>0</v>
      </c>
      <c r="F23" s="29"/>
      <c r="G23" s="35">
        <f>VLOOKUP(B23,Bhuv!A$1:M$2939,6,FALSE)</f>
        <v>146.05000000000001</v>
      </c>
      <c r="H23" s="29"/>
      <c r="I23" s="34">
        <f>((G23 - VLOOKUP(B23,Bhuv!A$1:M$2939,8,FALSE))/G23)*100</f>
        <v>1.1297500855871314</v>
      </c>
      <c r="J23" s="34">
        <f t="shared" si="1"/>
        <v>0</v>
      </c>
      <c r="K23" s="34">
        <f>IFERROR(((G23-VLOOKUP(B23,Holdings!A$1:C$95,3,FALSE))/VLOOKUP(B23,Holdings!A$1:C$95,3,FALSE))*100,0)</f>
        <v>0</v>
      </c>
      <c r="L23" s="36">
        <f>IF((MM!J$2-(D23*E23)) &gt; MM!K$2,((MM!K$2)/G23),(((MM!J$2-(D23*E23)))/G23))</f>
        <v>27.529181102362198</v>
      </c>
      <c r="M23" s="34">
        <f t="shared" si="0"/>
        <v>0</v>
      </c>
      <c r="N23" s="29">
        <f>ROUND(((MM!K$2)/G23),0)</f>
        <v>28</v>
      </c>
      <c r="O23" s="29"/>
      <c r="P23" s="29"/>
    </row>
    <row r="24" spans="1:16" x14ac:dyDescent="0.35">
      <c r="A24" s="33">
        <f>VLOOKUP(B24,Bhuv!A$1:M$2939,11,FALSE)</f>
        <v>43994</v>
      </c>
      <c r="B24" s="29" t="s">
        <v>44</v>
      </c>
      <c r="C24" s="29">
        <v>3</v>
      </c>
      <c r="D24" s="29">
        <f>IFERROR(VLOOKUP(B24,Holdings!A$1:C$95,2,FALSE),0)</f>
        <v>20</v>
      </c>
      <c r="E24" s="34">
        <f>IFERROR(VLOOKUP(B24,Holdings!A$1:C$95,3,FALSE),0)</f>
        <v>176.67500000000001</v>
      </c>
      <c r="F24" s="29">
        <v>163</v>
      </c>
      <c r="G24" s="35">
        <f>VLOOKUP(B24,Bhuv!A$1:M$2939,6,FALSE)</f>
        <v>174.65</v>
      </c>
      <c r="H24" s="29">
        <v>177</v>
      </c>
      <c r="I24" s="34">
        <f>((G24 - VLOOKUP(B24,Bhuv!A$1:M$2939,8,FALSE))/G24)*100</f>
        <v>1.1451474377326081</v>
      </c>
      <c r="J24" s="34">
        <f t="shared" si="1"/>
        <v>-40.5</v>
      </c>
      <c r="K24" s="34">
        <f>IFERROR(((G24-VLOOKUP(B24,Holdings!A$1:C$95,3,FALSE))/VLOOKUP(B24,Holdings!A$1:C$95,3,FALSE))*100,0)</f>
        <v>-1.1461723503608352</v>
      </c>
      <c r="L24" s="36">
        <f>IF((MM!J$2-(D24*E24)) &gt; MM!K$2,((MM!K$2)/G24),(((MM!J$2-(D24*E24)))/G24))</f>
        <v>23.021110220440878</v>
      </c>
      <c r="M24" s="34">
        <f t="shared" si="0"/>
        <v>-7.7402009339182172</v>
      </c>
      <c r="N24" s="29">
        <f>ROUND(((MM!K$2)/G24),0)</f>
        <v>23</v>
      </c>
      <c r="O24" s="29"/>
      <c r="P24" s="29"/>
    </row>
    <row r="25" spans="1:16" x14ac:dyDescent="0.35">
      <c r="A25" s="33">
        <f>VLOOKUP(B25,Bhuv!A$1:M$2939,11,FALSE)</f>
        <v>43994</v>
      </c>
      <c r="B25" s="29" t="s">
        <v>49</v>
      </c>
      <c r="C25" s="29">
        <v>3</v>
      </c>
      <c r="D25" s="29">
        <f>IFERROR(VLOOKUP(B25,Holdings!A$1:C$95,2,FALSE),0)</f>
        <v>10</v>
      </c>
      <c r="E25" s="34">
        <f>IFERROR(VLOOKUP(B25,Holdings!A$1:C$95,3,FALSE),0)</f>
        <v>145.1</v>
      </c>
      <c r="F25" s="29">
        <v>126</v>
      </c>
      <c r="G25" s="35">
        <f>VLOOKUP(B25,Bhuv!A$1:M$2939,6,FALSE)</f>
        <v>141.65</v>
      </c>
      <c r="H25" s="29">
        <v>151</v>
      </c>
      <c r="I25" s="34">
        <f>((G25 - VLOOKUP(B25,Bhuv!A$1:M$2939,8,FALSE))/G25)*100</f>
        <v>0.45887751500176888</v>
      </c>
      <c r="J25" s="34">
        <f t="shared" si="1"/>
        <v>-34.5</v>
      </c>
      <c r="K25" s="34">
        <f>IFERROR(((G25-VLOOKUP(B25,Holdings!A$1:C$95,3,FALSE))/VLOOKUP(B25,Holdings!A$1:C$95,3,FALSE))*100,0)</f>
        <v>-2.3776705720192894</v>
      </c>
      <c r="L25" s="36">
        <f>IF((MM!J$2-(D25*E25)) &gt; MM!K$2,((MM!K$2)/G25),(((MM!J$2-(D25*E25)))/G25))</f>
        <v>28.384305683021527</v>
      </c>
      <c r="M25" s="34">
        <f t="shared" si="0"/>
        <v>-13.163335630599581</v>
      </c>
      <c r="N25" s="29">
        <f>ROUND(((MM!K$2)/G25),0)</f>
        <v>28</v>
      </c>
      <c r="O25" s="29"/>
      <c r="P25" s="29"/>
    </row>
    <row r="26" spans="1:16" x14ac:dyDescent="0.35">
      <c r="A26" s="33">
        <f>VLOOKUP(B26,Bhuv!A$1:M$2939,11,FALSE)</f>
        <v>43994</v>
      </c>
      <c r="B26" s="29" t="s">
        <v>1509</v>
      </c>
      <c r="C26" s="29">
        <v>3</v>
      </c>
      <c r="D26" s="29">
        <f>IFERROR(VLOOKUP(B26,Holdings!A$1:C$95,2,FALSE),0)</f>
        <v>0</v>
      </c>
      <c r="E26" s="34">
        <f>IFERROR(VLOOKUP(B26,Holdings!A$1:C$95,3,FALSE),0)</f>
        <v>0</v>
      </c>
      <c r="F26" s="29"/>
      <c r="G26" s="35">
        <f>VLOOKUP(B26,Bhuv!A$1:M$2939,6,FALSE)</f>
        <v>188.95</v>
      </c>
      <c r="H26" s="29"/>
      <c r="I26" s="34">
        <f>((G26 - VLOOKUP(B26,Bhuv!A$1:M$2939,8,FALSE))/G26)*100</f>
        <v>2.2757343212489989</v>
      </c>
      <c r="J26" s="34">
        <f t="shared" si="1"/>
        <v>0</v>
      </c>
      <c r="K26" s="34">
        <f>IFERROR(((G26-VLOOKUP(B26,Holdings!A$1:C$95,3,FALSE))/VLOOKUP(B26,Holdings!A$1:C$95,3,FALSE))*100,0)</f>
        <v>0</v>
      </c>
      <c r="L26" s="36">
        <f>IF((MM!J$2-(D26*E26)) &gt; MM!K$2,((MM!K$2)/G26),(((MM!J$2-(D26*E26)))/G26))</f>
        <v>21.278840433977241</v>
      </c>
      <c r="M26" s="34">
        <f t="shared" si="0"/>
        <v>0</v>
      </c>
      <c r="N26" s="29">
        <f>ROUND(((MM!K$2)/G26),0)</f>
        <v>21</v>
      </c>
      <c r="O26" s="29"/>
      <c r="P26" s="29"/>
    </row>
    <row r="27" spans="1:16" x14ac:dyDescent="0.35">
      <c r="A27" s="33">
        <f>VLOOKUP(B27,Bhuv!A$1:M$2939,11,FALSE)</f>
        <v>43994</v>
      </c>
      <c r="B27" s="29" t="s">
        <v>58</v>
      </c>
      <c r="C27" s="29">
        <v>3</v>
      </c>
      <c r="D27" s="29">
        <f>IFERROR(VLOOKUP(B27,Holdings!A$1:C$95,2,FALSE),0)</f>
        <v>10</v>
      </c>
      <c r="E27" s="34">
        <f>IFERROR(VLOOKUP(B27,Holdings!A$1:C$95,3,FALSE),0)</f>
        <v>335.05</v>
      </c>
      <c r="F27" s="29">
        <v>299</v>
      </c>
      <c r="G27" s="35">
        <f>VLOOKUP(B27,Bhuv!A$1:M$2939,6,FALSE)</f>
        <v>317.60000000000002</v>
      </c>
      <c r="H27" s="29">
        <v>352</v>
      </c>
      <c r="I27" s="34">
        <f>((G27 - VLOOKUP(B27,Bhuv!A$1:M$2939,8,FALSE))/G27)*100</f>
        <v>1.4011335012594601</v>
      </c>
      <c r="J27" s="34">
        <f t="shared" si="1"/>
        <v>-174.5</v>
      </c>
      <c r="K27" s="34">
        <f>IFERROR(((G27-VLOOKUP(B27,Holdings!A$1:C$95,3,FALSE))/VLOOKUP(B27,Holdings!A$1:C$95,3,FALSE))*100,0)</f>
        <v>-5.208177883897922</v>
      </c>
      <c r="L27" s="36">
        <f>IF((MM!J$2-(D27*E27)) &gt; MM!K$2,((MM!K$2)/G27),(((MM!J$2-(D27*E27)))/G27))</f>
        <v>12.659436083123424</v>
      </c>
      <c r="M27" s="34">
        <f t="shared" si="0"/>
        <v>-10.759588121175948</v>
      </c>
      <c r="N27" s="29">
        <f>ROUND(((MM!K$2)/G27),0)</f>
        <v>13</v>
      </c>
      <c r="O27" s="29"/>
      <c r="P27" s="29" t="s">
        <v>4126</v>
      </c>
    </row>
    <row r="28" spans="1:16" x14ac:dyDescent="0.35">
      <c r="A28" s="33">
        <f>VLOOKUP(B28,Bhuv!A$1:M$2939,11,FALSE)</f>
        <v>43994</v>
      </c>
      <c r="B28" s="29" t="s">
        <v>16</v>
      </c>
      <c r="C28" s="29">
        <v>3</v>
      </c>
      <c r="D28" s="29">
        <f>IFERROR(VLOOKUP(B28,Holdings!A$1:C$95,2,FALSE),0)</f>
        <v>20</v>
      </c>
      <c r="E28" s="34">
        <f>IFERROR(VLOOKUP(B28,Holdings!A$1:C$95,3,FALSE),0)</f>
        <v>132.25769230769231</v>
      </c>
      <c r="F28" s="29">
        <v>128</v>
      </c>
      <c r="G28" s="35">
        <f>VLOOKUP(B28,Bhuv!A$1:M$2939,6,FALSE)</f>
        <v>132.44999999999999</v>
      </c>
      <c r="H28" s="29">
        <v>163</v>
      </c>
      <c r="I28" s="34">
        <f>((G28 - VLOOKUP(B28,Bhuv!A$1:M$2939,8,FALSE))/G28)*100</f>
        <v>-1.1702529256323229</v>
      </c>
      <c r="J28" s="34">
        <f t="shared" si="1"/>
        <v>3.8461538461538112</v>
      </c>
      <c r="K28" s="34">
        <f>IFERROR(((G28-VLOOKUP(B28,Holdings!A$1:C$95,3,FALSE))/VLOOKUP(B28,Holdings!A$1:C$95,3,FALSE))*100,0)</f>
        <v>0.14540378631458573</v>
      </c>
      <c r="L28" s="36">
        <f>IF((MM!J$2-(D28*E28)) &gt; MM!K$2,((MM!K$2)/G28),(((MM!J$2-(D28*E28)))/G28))</f>
        <v>30.355884484711211</v>
      </c>
      <c r="M28" s="34">
        <f t="shared" si="0"/>
        <v>-3.2192398290051485</v>
      </c>
      <c r="N28" s="29">
        <f>ROUND(((MM!K$2)/G28),0)</f>
        <v>30</v>
      </c>
      <c r="O28" s="29"/>
      <c r="P28" s="29"/>
    </row>
    <row r="29" spans="1:16" x14ac:dyDescent="0.35">
      <c r="A29" s="33">
        <f>VLOOKUP(B29,Bhuv!A$1:M$2939,11,FALSE)</f>
        <v>43994</v>
      </c>
      <c r="B29" s="29" t="s">
        <v>2332</v>
      </c>
      <c r="C29" s="29">
        <v>3</v>
      </c>
      <c r="D29" s="29">
        <f>IFERROR(VLOOKUP(B29,Holdings!A$1:C$95,2,FALSE),0)</f>
        <v>0</v>
      </c>
      <c r="E29" s="34">
        <f>IFERROR(VLOOKUP(B29,Holdings!A$1:C$95,3,FALSE),0)</f>
        <v>0</v>
      </c>
      <c r="F29" s="29"/>
      <c r="G29" s="35">
        <f>VLOOKUP(B29,Bhuv!A$1:M$2939,6,FALSE)</f>
        <v>1588.8</v>
      </c>
      <c r="H29" s="29"/>
      <c r="I29" s="34">
        <f>((G29 - VLOOKUP(B29,Bhuv!A$1:M$2939,8,FALSE))/G29)*100</f>
        <v>3.2162638469284937</v>
      </c>
      <c r="J29" s="34">
        <f t="shared" si="1"/>
        <v>0</v>
      </c>
      <c r="K29" s="34">
        <f>IFERROR(((G29-VLOOKUP(B29,Holdings!A$1:C$95,3,FALSE))/VLOOKUP(B29,Holdings!A$1:C$95,3,FALSE))*100,0)</f>
        <v>0</v>
      </c>
      <c r="L29" s="36">
        <f>IF((MM!J$2-(D29*E29)) &gt; MM!K$2,((MM!K$2)/G29),(((MM!J$2-(D29*E29)))/G29))</f>
        <v>2.530612348942598</v>
      </c>
      <c r="M29" s="34">
        <f t="shared" si="0"/>
        <v>0</v>
      </c>
      <c r="N29" s="29">
        <f>ROUND(((MM!K$2)/G29),0)</f>
        <v>3</v>
      </c>
      <c r="O29" s="29" t="s">
        <v>4123</v>
      </c>
      <c r="P29" s="29"/>
    </row>
    <row r="30" spans="1:16" x14ac:dyDescent="0.35">
      <c r="A30" s="33">
        <f>VLOOKUP(B30,Bhuv!A$1:M$2939,11,FALSE)</f>
        <v>43994</v>
      </c>
      <c r="B30" s="29" t="s">
        <v>630</v>
      </c>
      <c r="C30" s="29">
        <v>3</v>
      </c>
      <c r="D30" s="29">
        <f>IFERROR(VLOOKUP(B30,Holdings!A$1:C$95,2,FALSE),0)</f>
        <v>0</v>
      </c>
      <c r="E30" s="34">
        <f>IFERROR(VLOOKUP(B30,Holdings!A$1:C$95,3,FALSE),0)</f>
        <v>0</v>
      </c>
      <c r="F30" s="29"/>
      <c r="G30" s="35">
        <f>VLOOKUP(B30,Bhuv!A$1:M$2939,6,FALSE)</f>
        <v>643.6</v>
      </c>
      <c r="H30" s="29"/>
      <c r="I30" s="34">
        <f>((G30 - VLOOKUP(B30,Bhuv!A$1:M$2939,8,FALSE))/G30)*100</f>
        <v>1.3362336855189594</v>
      </c>
      <c r="J30" s="34">
        <f t="shared" si="1"/>
        <v>0</v>
      </c>
      <c r="K30" s="34">
        <f>IFERROR(((G30-VLOOKUP(B30,Holdings!A$1:C$95,3,FALSE))/VLOOKUP(B30,Holdings!A$1:C$95,3,FALSE))*100,0)</f>
        <v>0</v>
      </c>
      <c r="L30" s="36">
        <f>IF((MM!J$2-(D30*E30)) &gt; MM!K$2,((MM!K$2)/G30),(((MM!J$2-(D30*E30)))/G30))</f>
        <v>6.2471051895587308</v>
      </c>
      <c r="M30" s="34">
        <f t="shared" si="0"/>
        <v>0</v>
      </c>
      <c r="N30" s="29">
        <f>ROUND(((MM!K$2)/G30),0)</f>
        <v>6</v>
      </c>
      <c r="O30" s="29"/>
      <c r="P30" s="29"/>
    </row>
    <row r="31" spans="1:16" x14ac:dyDescent="0.35">
      <c r="A31" s="33">
        <f>VLOOKUP(B31,Bhuv!A$1:M$2939,11,FALSE)</f>
        <v>43994</v>
      </c>
      <c r="B31" s="29" t="s">
        <v>37</v>
      </c>
      <c r="C31" s="29">
        <v>3</v>
      </c>
      <c r="D31" s="29">
        <f>IFERROR(VLOOKUP(B31,Holdings!A$1:C$95,2,FALSE),0)</f>
        <v>1</v>
      </c>
      <c r="E31" s="34">
        <f>IFERROR(VLOOKUP(B31,Holdings!A$1:C$95,3,FALSE),0)</f>
        <v>2390</v>
      </c>
      <c r="F31" s="29">
        <v>2260</v>
      </c>
      <c r="G31" s="35">
        <f>VLOOKUP(B31,Bhuv!A$1:M$2939,6,FALSE)</f>
        <v>2395.1</v>
      </c>
      <c r="H31" s="29">
        <v>2461</v>
      </c>
      <c r="I31" s="34">
        <f>((G31 - VLOOKUP(B31,Bhuv!A$1:M$2939,8,FALSE))/G31)*100</f>
        <v>1.6199741138156958</v>
      </c>
      <c r="J31" s="34">
        <f t="shared" si="1"/>
        <v>5.0999999999999091</v>
      </c>
      <c r="K31" s="34">
        <f>IFERROR(((G31-VLOOKUP(B31,Holdings!A$1:C$95,3,FALSE))/VLOOKUP(B31,Holdings!A$1:C$95,3,FALSE))*100,0)</f>
        <v>0.21338912133890836</v>
      </c>
      <c r="L31" s="36">
        <f>IF((MM!J$2-(D31*E31)) &gt; MM!K$2,((MM!K$2)/G31),(((MM!J$2-(D31*E31)))/G31))</f>
        <v>1.6786927059412966</v>
      </c>
      <c r="M31" s="34">
        <f t="shared" si="0"/>
        <v>-5.439330543933055</v>
      </c>
      <c r="N31" s="29">
        <f>ROUND(((MM!K$2)/G31),0)</f>
        <v>2</v>
      </c>
      <c r="O31" s="29"/>
      <c r="P31" s="29" t="s">
        <v>4128</v>
      </c>
    </row>
    <row r="32" spans="1:16" x14ac:dyDescent="0.35">
      <c r="A32" s="33">
        <f>VLOOKUP(B32,Bhuv!A$1:M$2939,11,FALSE)</f>
        <v>43994</v>
      </c>
      <c r="B32" s="29" t="s">
        <v>788</v>
      </c>
      <c r="C32" s="29">
        <v>3</v>
      </c>
      <c r="D32" s="29">
        <f>IFERROR(VLOOKUP(B32,Holdings!A$1:C$95,2,FALSE),0)</f>
        <v>0</v>
      </c>
      <c r="E32" s="34">
        <f>IFERROR(VLOOKUP(B32,Holdings!A$1:C$95,3,FALSE),0)</f>
        <v>0</v>
      </c>
      <c r="F32" s="29"/>
      <c r="G32" s="35">
        <f>VLOOKUP(B32,Bhuv!A$1:M$2939,6,FALSE)</f>
        <v>4007.95</v>
      </c>
      <c r="H32" s="29"/>
      <c r="I32" s="34">
        <f>((G32 - VLOOKUP(B32,Bhuv!A$1:M$2939,8,FALSE))/G32)*100</f>
        <v>-1.2387879090308036</v>
      </c>
      <c r="J32" s="34">
        <f t="shared" si="1"/>
        <v>0</v>
      </c>
      <c r="K32" s="34">
        <f>IFERROR(((G32-VLOOKUP(B32,Holdings!A$1:C$95,3,FALSE))/VLOOKUP(B32,Holdings!A$1:C$95,3,FALSE))*100,0)</f>
        <v>0</v>
      </c>
      <c r="L32" s="36">
        <f>IF((MM!J$2-(D32*E32)) &gt; MM!K$2,((MM!K$2)/G32),(((MM!J$2-(D32*E32)))/G32))</f>
        <v>1.0031654337005202</v>
      </c>
      <c r="M32" s="34">
        <f t="shared" si="0"/>
        <v>0</v>
      </c>
      <c r="N32" s="29">
        <f>ROUND(((MM!K$2)/G32),0)</f>
        <v>1</v>
      </c>
      <c r="O32" s="29"/>
      <c r="P32" s="29"/>
    </row>
    <row r="33" spans="1:16" x14ac:dyDescent="0.35">
      <c r="A33" s="33">
        <f>VLOOKUP(B33,Bhuv!A$1:M$2939,11,FALSE)</f>
        <v>43994</v>
      </c>
      <c r="B33" s="29" t="s">
        <v>57</v>
      </c>
      <c r="C33" s="29">
        <v>3</v>
      </c>
      <c r="D33" s="29">
        <f>IFERROR(VLOOKUP(B33,Holdings!A$1:C$95,2,FALSE),0)</f>
        <v>10</v>
      </c>
      <c r="E33" s="34">
        <f>IFERROR(VLOOKUP(B33,Holdings!A$1:C$95,3,FALSE),0)</f>
        <v>495.1</v>
      </c>
      <c r="F33" s="29">
        <v>468</v>
      </c>
      <c r="G33" s="35">
        <f>VLOOKUP(B33,Bhuv!A$1:M$2939,6,FALSE)</f>
        <v>480.1</v>
      </c>
      <c r="H33" s="29">
        <v>506</v>
      </c>
      <c r="I33" s="34">
        <f>((G33 - VLOOKUP(B33,Bhuv!A$1:M$2939,8,FALSE))/G33)*100</f>
        <v>1.3434701103936775</v>
      </c>
      <c r="J33" s="34">
        <f t="shared" si="1"/>
        <v>-150</v>
      </c>
      <c r="K33" s="34">
        <f>IFERROR(((G33-VLOOKUP(B33,Holdings!A$1:C$95,3,FALSE))/VLOOKUP(B33,Holdings!A$1:C$95,3,FALSE))*100,0)</f>
        <v>-3.0296909715209051</v>
      </c>
      <c r="L33" s="36">
        <f>IF((MM!J$2-(D33*E33)) &gt; MM!K$2,((MM!K$2)/G33),(((MM!J$2-(D33*E33)))/G33))</f>
        <v>8.3745821703811689</v>
      </c>
      <c r="M33" s="34">
        <f t="shared" si="0"/>
        <v>-5.4736416885477723</v>
      </c>
      <c r="N33" s="29">
        <f>ROUND(((MM!K$2)/G33),0)</f>
        <v>8</v>
      </c>
      <c r="O33" s="29"/>
      <c r="P33" s="29" t="s">
        <v>4129</v>
      </c>
    </row>
    <row r="34" spans="1:16" x14ac:dyDescent="0.35">
      <c r="A34" s="33">
        <f>VLOOKUP(B34,Bhuv!A$1:M$2939,11,FALSE)</f>
        <v>43994</v>
      </c>
      <c r="B34" s="29" t="s">
        <v>768</v>
      </c>
      <c r="C34" s="29">
        <v>3</v>
      </c>
      <c r="D34" s="29">
        <f>IFERROR(VLOOKUP(B34,Holdings!A$1:C$95,2,FALSE),0)</f>
        <v>0</v>
      </c>
      <c r="E34" s="34">
        <f>IFERROR(VLOOKUP(B34,Holdings!A$1:C$95,3,FALSE),0)</f>
        <v>0</v>
      </c>
      <c r="F34" s="29"/>
      <c r="G34" s="35">
        <f>VLOOKUP(B34,Bhuv!A$1:M$2939,6,FALSE)</f>
        <v>154.05000000000001</v>
      </c>
      <c r="H34" s="29"/>
      <c r="I34" s="34">
        <f>((G34 - VLOOKUP(B34,Bhuv!A$1:M$2939,8,FALSE))/G34)*100</f>
        <v>2.1421616358325291</v>
      </c>
      <c r="J34" s="34">
        <f t="shared" si="1"/>
        <v>0</v>
      </c>
      <c r="K34" s="34">
        <f>IFERROR(((G34-VLOOKUP(B34,Holdings!A$1:C$95,3,FALSE))/VLOOKUP(B34,Holdings!A$1:C$95,3,FALSE))*100,0)</f>
        <v>0</v>
      </c>
      <c r="L34" s="36">
        <f>IF((MM!J$2-(D34*E34)) &gt; MM!K$2,((MM!K$2)/G34),(((MM!J$2-(D34*E34)))/G34))</f>
        <v>26.099557935735145</v>
      </c>
      <c r="M34" s="34">
        <f t="shared" si="0"/>
        <v>0</v>
      </c>
      <c r="N34" s="29">
        <f>ROUND(((MM!K$2)/G34),0)</f>
        <v>26</v>
      </c>
      <c r="O34" s="29"/>
      <c r="P34" s="29"/>
    </row>
    <row r="35" spans="1:16" x14ac:dyDescent="0.35">
      <c r="A35" s="33">
        <f>VLOOKUP(B35,Bhuv!A$1:M$2939,11,FALSE)</f>
        <v>43994</v>
      </c>
      <c r="B35" s="29" t="s">
        <v>1041</v>
      </c>
      <c r="C35" s="29">
        <v>3</v>
      </c>
      <c r="D35" s="29">
        <f>IFERROR(VLOOKUP(B35,Holdings!A$1:C$95,2,FALSE),0)</f>
        <v>0</v>
      </c>
      <c r="E35" s="34">
        <f>IFERROR(VLOOKUP(B35,Holdings!A$1:C$95,3,FALSE),0)</f>
        <v>0</v>
      </c>
      <c r="F35" s="29"/>
      <c r="G35" s="35">
        <f>VLOOKUP(B35,Bhuv!A$1:M$2939,6,FALSE)</f>
        <v>835.85</v>
      </c>
      <c r="H35" s="29"/>
      <c r="I35" s="34">
        <f>((G35 - VLOOKUP(B35,Bhuv!A$1:M$2939,8,FALSE))/G35)*100</f>
        <v>2.1235867679607585</v>
      </c>
      <c r="J35" s="34">
        <f t="shared" si="1"/>
        <v>0</v>
      </c>
      <c r="K35" s="34">
        <f>IFERROR(((G35-VLOOKUP(B35,Holdings!A$1:C$95,3,FALSE))/VLOOKUP(B35,Holdings!A$1:C$95,3,FALSE))*100,0)</f>
        <v>0</v>
      </c>
      <c r="L35" s="36">
        <f>IF((MM!J$2-(D35*E35)) &gt; MM!K$2,((MM!K$2)/G35),(((MM!J$2-(D35*E35)))/G35))</f>
        <v>4.810237363163246</v>
      </c>
      <c r="M35" s="34">
        <f t="shared" si="0"/>
        <v>0</v>
      </c>
      <c r="N35" s="29">
        <f>ROUND(((MM!K$2)/G35),0)</f>
        <v>5</v>
      </c>
      <c r="O35" s="29"/>
      <c r="P35" s="29"/>
    </row>
    <row r="36" spans="1:16" x14ac:dyDescent="0.35">
      <c r="A36" s="33">
        <f>VLOOKUP(B36,Bhuv!A$1:M$2939,11,FALSE)</f>
        <v>43994</v>
      </c>
      <c r="B36" s="29" t="s">
        <v>54</v>
      </c>
      <c r="C36" s="29">
        <v>3</v>
      </c>
      <c r="D36" s="29">
        <f>IFERROR(VLOOKUP(B36,Holdings!A$1:C$95,2,FALSE),0)</f>
        <v>10</v>
      </c>
      <c r="E36" s="34">
        <f>IFERROR(VLOOKUP(B36,Holdings!A$1:C$95,3,FALSE),0)</f>
        <v>335.1</v>
      </c>
      <c r="F36" s="29">
        <v>360</v>
      </c>
      <c r="G36" s="35">
        <f>VLOOKUP(B36,Bhuv!A$1:M$2939,6,FALSE)</f>
        <v>371.2</v>
      </c>
      <c r="H36" s="29">
        <v>394</v>
      </c>
      <c r="I36" s="34">
        <f>((G36 - VLOOKUP(B36,Bhuv!A$1:M$2939,8,FALSE))/G36)*100</f>
        <v>-1.1314655172413763</v>
      </c>
      <c r="J36" s="34">
        <f t="shared" si="1"/>
        <v>361</v>
      </c>
      <c r="K36" s="34">
        <f>IFERROR(((G36-VLOOKUP(B36,Holdings!A$1:C$95,3,FALSE))/VLOOKUP(B36,Holdings!A$1:C$95,3,FALSE))*100,0)</f>
        <v>10.772903610862418</v>
      </c>
      <c r="L36" s="36">
        <f>IF((MM!J$2-(D36*E36)) &gt; MM!K$2,((MM!K$2)/G36),(((MM!J$2-(D36*E36)))/G36))</f>
        <v>10.831457165948274</v>
      </c>
      <c r="M36" s="34">
        <f t="shared" si="0"/>
        <v>7.4306177260519179</v>
      </c>
      <c r="N36" s="29">
        <f>ROUND(((MM!K$2)/G36),0)</f>
        <v>11</v>
      </c>
      <c r="O36" s="29"/>
      <c r="P36" s="29" t="s">
        <v>4120</v>
      </c>
    </row>
    <row r="37" spans="1:16" x14ac:dyDescent="0.35">
      <c r="A37" s="33">
        <f>VLOOKUP(B37,Bhuv!A$1:M$2939,11,FALSE)</f>
        <v>43994</v>
      </c>
      <c r="B37" s="29" t="s">
        <v>2167</v>
      </c>
      <c r="C37" s="29">
        <v>3</v>
      </c>
      <c r="D37" s="29">
        <f>IFERROR(VLOOKUP(B37,Holdings!A$1:C$95,2,FALSE),0)</f>
        <v>0</v>
      </c>
      <c r="E37" s="34">
        <f>IFERROR(VLOOKUP(B37,Holdings!A$1:C$95,3,FALSE),0)</f>
        <v>0</v>
      </c>
      <c r="F37" s="29"/>
      <c r="G37" s="35">
        <f>VLOOKUP(B37,Bhuv!A$1:M$2939,6,FALSE)</f>
        <v>599.85</v>
      </c>
      <c r="H37" s="29"/>
      <c r="I37" s="34">
        <f>((G37 - VLOOKUP(B37,Bhuv!A$1:M$2939,8,FALSE))/G37)*100</f>
        <v>-1.5087105109610659</v>
      </c>
      <c r="J37" s="34">
        <f t="shared" si="1"/>
        <v>0</v>
      </c>
      <c r="K37" s="34">
        <f>IFERROR(((G37-VLOOKUP(B37,Holdings!A$1:C$95,3,FALSE))/VLOOKUP(B37,Holdings!A$1:C$95,3,FALSE))*100,0)</f>
        <v>0</v>
      </c>
      <c r="L37" s="36">
        <f>IF((MM!J$2-(D37*E37)) &gt; MM!K$2,((MM!K$2)/G37),(((MM!J$2-(D37*E37)))/G37))</f>
        <v>6.7027371842960726</v>
      </c>
      <c r="M37" s="34">
        <f t="shared" si="0"/>
        <v>0</v>
      </c>
      <c r="N37" s="29">
        <f>ROUND(((MM!K$2)/G37),0)</f>
        <v>7</v>
      </c>
      <c r="O37" s="29"/>
      <c r="P37" s="29"/>
    </row>
    <row r="38" spans="1:16" x14ac:dyDescent="0.35">
      <c r="A38" s="33">
        <f>VLOOKUP(B38,Bhuv!A$1:M$2939,11,FALSE)</f>
        <v>43994</v>
      </c>
      <c r="B38" s="29" t="s">
        <v>35</v>
      </c>
      <c r="C38" s="29">
        <v>4</v>
      </c>
      <c r="D38" s="29">
        <f>IFERROR(VLOOKUP(B38,Holdings!A$1:C$95,2,FALSE),0)</f>
        <v>0</v>
      </c>
      <c r="E38" s="34">
        <f>IFERROR(VLOOKUP(B38,Holdings!A$1:C$95,3,FALSE),0)</f>
        <v>0</v>
      </c>
      <c r="F38" s="29"/>
      <c r="G38" s="35">
        <f>VLOOKUP(B38,Bhuv!A$1:M$2939,6,FALSE)</f>
        <v>501.65</v>
      </c>
      <c r="H38" s="29"/>
      <c r="I38" s="34">
        <f>((G38 - VLOOKUP(B38,Bhuv!A$1:M$2939,8,FALSE))/G38)*100</f>
        <v>2.4818100269111909</v>
      </c>
      <c r="J38" s="34">
        <f t="shared" si="1"/>
        <v>0</v>
      </c>
      <c r="K38" s="34">
        <f>IFERROR(((G38-VLOOKUP(B38,Holdings!A$1:C$95,3,FALSE))/VLOOKUP(B38,Holdings!A$1:C$95,3,FALSE))*100,0)</f>
        <v>0</v>
      </c>
      <c r="L38" s="36">
        <f>IF((MM!J$2-(D38*E38)) &gt; MM!K$2,((MM!K$2)/G38),(((MM!J$2-(D38*E38)))/G38))</f>
        <v>8.0148248779029192</v>
      </c>
      <c r="M38" s="34">
        <f t="shared" si="0"/>
        <v>0</v>
      </c>
      <c r="N38" s="29">
        <f>ROUND(((MM!K$2)/G38),0)</f>
        <v>8</v>
      </c>
      <c r="O38" s="29" t="s">
        <v>4123</v>
      </c>
      <c r="P38" s="29"/>
    </row>
    <row r="39" spans="1:16" x14ac:dyDescent="0.35">
      <c r="A39" s="33">
        <f>VLOOKUP(B39,Bhuv!A$1:M$2939,11,FALSE)</f>
        <v>43994</v>
      </c>
      <c r="B39" s="29" t="s">
        <v>36</v>
      </c>
      <c r="C39" s="29">
        <v>4</v>
      </c>
      <c r="D39" s="29">
        <f>IFERROR(VLOOKUP(B39,Holdings!A$1:C$95,2,FALSE),0)</f>
        <v>1</v>
      </c>
      <c r="E39" s="34">
        <f>IFERROR(VLOOKUP(B39,Holdings!A$1:C$95,3,FALSE),0)</f>
        <v>70.55</v>
      </c>
      <c r="F39" s="29">
        <v>67</v>
      </c>
      <c r="G39" s="35">
        <f>VLOOKUP(B39,Bhuv!A$1:M$2939,6,FALSE)</f>
        <v>86.65</v>
      </c>
      <c r="H39" s="29">
        <v>100</v>
      </c>
      <c r="I39" s="34">
        <f>((G39 - VLOOKUP(B39,Bhuv!A$1:M$2939,8,FALSE))/G39)*100</f>
        <v>-3.9238315060588476</v>
      </c>
      <c r="J39" s="34">
        <f t="shared" si="1"/>
        <v>16.100000000000009</v>
      </c>
      <c r="K39" s="34">
        <f>IFERROR(((G39-VLOOKUP(B39,Holdings!A$1:C$95,3,FALSE))/VLOOKUP(B39,Holdings!A$1:C$95,3,FALSE))*100,0)</f>
        <v>22.820694542877405</v>
      </c>
      <c r="L39" s="36">
        <f>IF((MM!J$2-(D39*E39)) &gt; MM!K$2,((MM!K$2)/G39),(((MM!J$2-(D39*E39)))/G39))</f>
        <v>46.400887478361213</v>
      </c>
      <c r="M39" s="34">
        <f t="shared" si="0"/>
        <v>-5.0318922749822779</v>
      </c>
      <c r="N39" s="29">
        <f>ROUND(((MM!K$2)/G39),0)</f>
        <v>46</v>
      </c>
      <c r="O39" s="29"/>
      <c r="P39" s="29" t="s">
        <v>4124</v>
      </c>
    </row>
    <row r="40" spans="1:16" x14ac:dyDescent="0.35">
      <c r="A40" s="33">
        <f>VLOOKUP(B40,Bhuv!A$1:M$2939,11,FALSE)</f>
        <v>43994</v>
      </c>
      <c r="B40" s="29" t="s">
        <v>39</v>
      </c>
      <c r="C40" s="29">
        <v>4</v>
      </c>
      <c r="D40" s="29">
        <f>IFERROR(VLOOKUP(B40,Holdings!A$1:C$95,2,FALSE),0)</f>
        <v>67</v>
      </c>
      <c r="E40" s="34">
        <f>IFERROR(VLOOKUP(B40,Holdings!A$1:C$95,3,FALSE),0)</f>
        <v>65.425373134328353</v>
      </c>
      <c r="F40" s="29">
        <v>66</v>
      </c>
      <c r="G40" s="35">
        <f>VLOOKUP(B40,Bhuv!A$1:M$2939,6,FALSE)</f>
        <v>69.650000000000006</v>
      </c>
      <c r="H40" s="29">
        <v>74</v>
      </c>
      <c r="I40" s="34">
        <f>((G40 - VLOOKUP(B40,Bhuv!A$1:M$2939,8,FALSE))/G40)*100</f>
        <v>1.1486001435750341</v>
      </c>
      <c r="J40" s="34">
        <f t="shared" si="1"/>
        <v>283.05000000000018</v>
      </c>
      <c r="K40" s="34">
        <f>IFERROR(((G40-VLOOKUP(B40,Holdings!A$1:C$95,3,FALSE))/VLOOKUP(B40,Holdings!A$1:C$95,3,FALSE))*100,0)</f>
        <v>6.4571689289380796</v>
      </c>
      <c r="L40" s="36">
        <f>IF((MM!J$2-(D40*E40)) &gt; MM!K$2,((MM!K$2)/G40),(((MM!J$2-(D40*E40)))/G40))</f>
        <v>57.726301507537677</v>
      </c>
      <c r="M40" s="34">
        <f t="shared" si="0"/>
        <v>0.87829360100377174</v>
      </c>
      <c r="N40" s="29">
        <f>ROUND(((MM!K$2)/G40),0)</f>
        <v>58</v>
      </c>
      <c r="O40" s="29"/>
      <c r="P40" s="29" t="s">
        <v>4130</v>
      </c>
    </row>
    <row r="41" spans="1:16" x14ac:dyDescent="0.35">
      <c r="A41" s="33">
        <f>VLOOKUP(B41,Bhuv!A$1:M$2939,11,FALSE)</f>
        <v>43994</v>
      </c>
      <c r="B41" s="29" t="s">
        <v>40</v>
      </c>
      <c r="C41" s="29">
        <v>4</v>
      </c>
      <c r="D41" s="29">
        <f>IFERROR(VLOOKUP(B41,Holdings!A$1:C$95,2,FALSE),0)</f>
        <v>0</v>
      </c>
      <c r="E41" s="34">
        <f>IFERROR(VLOOKUP(B41,Holdings!A$1:C$95,3,FALSE),0)</f>
        <v>0</v>
      </c>
      <c r="F41" s="29"/>
      <c r="G41" s="35">
        <f>VLOOKUP(B41,Bhuv!A$1:M$2939,6,FALSE)</f>
        <v>77.45</v>
      </c>
      <c r="H41" s="29"/>
      <c r="I41" s="34">
        <f>((G41 - VLOOKUP(B41,Bhuv!A$1:M$2939,8,FALSE))/G41)*100</f>
        <v>-1.0974822466107093</v>
      </c>
      <c r="J41" s="34">
        <f t="shared" si="1"/>
        <v>0</v>
      </c>
      <c r="K41" s="34">
        <f>IFERROR(((G41-VLOOKUP(B41,Holdings!A$1:C$95,3,FALSE))/VLOOKUP(B41,Holdings!A$1:C$95,3,FALSE))*100,0)</f>
        <v>0</v>
      </c>
      <c r="L41" s="36">
        <f>IF((MM!J$2-(D41*E41)) &gt; MM!K$2,((MM!K$2)/G41),(((MM!J$2-(D41*E41)))/G41))</f>
        <v>51.912677856681725</v>
      </c>
      <c r="M41" s="34">
        <f t="shared" si="0"/>
        <v>0</v>
      </c>
      <c r="N41" s="29">
        <f>ROUND(((MM!K$2)/G41),0)</f>
        <v>52</v>
      </c>
      <c r="O41" s="29"/>
      <c r="P41" s="29"/>
    </row>
    <row r="42" spans="1:16" x14ac:dyDescent="0.35">
      <c r="A42" s="33">
        <f>VLOOKUP(B42,Bhuv!A$1:M$2939,11,FALSE)</f>
        <v>43994</v>
      </c>
      <c r="B42" s="29" t="s">
        <v>53</v>
      </c>
      <c r="C42" s="29">
        <v>4</v>
      </c>
      <c r="D42" s="29">
        <f>IFERROR(VLOOKUP(B42,Holdings!A$1:C$95,2,FALSE),0)</f>
        <v>100</v>
      </c>
      <c r="E42" s="34">
        <f>IFERROR(VLOOKUP(B42,Holdings!A$1:C$95,3,FALSE),0)</f>
        <v>92.19</v>
      </c>
      <c r="F42" s="29">
        <v>103</v>
      </c>
      <c r="G42" s="35">
        <f>VLOOKUP(B42,Bhuv!A$1:M$2939,6,FALSE)</f>
        <v>105.72</v>
      </c>
      <c r="H42" s="29">
        <v>108</v>
      </c>
      <c r="I42" s="34">
        <f>((G42 - VLOOKUP(B42,Bhuv!A$1:M$2939,8,FALSE))/G42)*100</f>
        <v>0.39727582292849201</v>
      </c>
      <c r="J42" s="34">
        <f t="shared" si="1"/>
        <v>1353</v>
      </c>
      <c r="K42" s="34">
        <f>IFERROR(((G42-VLOOKUP(B42,Holdings!A$1:C$95,3,FALSE))/VLOOKUP(B42,Holdings!A$1:C$95,3,FALSE))*100,0)</f>
        <v>14.676212170517411</v>
      </c>
      <c r="L42" s="36">
        <f>IF((MM!J$2-(D42*E42)) &gt; MM!K$2,((MM!K$2)/G42),(((MM!J$2-(D42*E42)))/G42))</f>
        <v>26.890944948921668</v>
      </c>
      <c r="M42" s="34">
        <f t="shared" si="0"/>
        <v>11.725783707560476</v>
      </c>
      <c r="N42" s="29">
        <f>ROUND(((MM!K$2)/G42),0)</f>
        <v>38</v>
      </c>
      <c r="O42" s="29" t="s">
        <v>4131</v>
      </c>
      <c r="P42" s="29"/>
    </row>
    <row r="43" spans="1:16" x14ac:dyDescent="0.35">
      <c r="A43" s="33">
        <f>VLOOKUP(B43,Bhuv!A$1:M$2939,11,FALSE)</f>
        <v>43994</v>
      </c>
      <c r="B43" s="29" t="s">
        <v>46</v>
      </c>
      <c r="C43" s="29">
        <v>4</v>
      </c>
      <c r="D43" s="29">
        <f>IFERROR(VLOOKUP(B43,Holdings!A$1:C$95,2,FALSE),0)</f>
        <v>50</v>
      </c>
      <c r="E43" s="34">
        <f>IFERROR(VLOOKUP(B43,Holdings!A$1:C$95,3,FALSE),0)</f>
        <v>94.65</v>
      </c>
      <c r="F43" s="29">
        <v>102</v>
      </c>
      <c r="G43" s="35">
        <f>VLOOKUP(B43,Bhuv!A$1:M$2939,6,FALSE)</f>
        <v>105.05</v>
      </c>
      <c r="H43" s="29">
        <v>111</v>
      </c>
      <c r="I43" s="34">
        <f>((G43 - VLOOKUP(B43,Bhuv!A$1:M$2939,8,FALSE))/G43)*100</f>
        <v>0.47596382674916704</v>
      </c>
      <c r="J43" s="34">
        <f t="shared" si="1"/>
        <v>520</v>
      </c>
      <c r="K43" s="34">
        <f>IFERROR(((G43-VLOOKUP(B43,Holdings!A$1:C$95,3,FALSE))/VLOOKUP(B43,Holdings!A$1:C$95,3,FALSE))*100,0)</f>
        <v>10.98784997358689</v>
      </c>
      <c r="L43" s="36">
        <f>IF((MM!J$2-(D43*E43)) &gt; MM!K$2,((MM!K$2)/G43),(((MM!J$2-(D43*E43)))/G43))</f>
        <v>38.273554497858157</v>
      </c>
      <c r="M43" s="34">
        <f t="shared" si="0"/>
        <v>7.7654516640253499</v>
      </c>
      <c r="N43" s="29">
        <f>ROUND(((MM!K$2)/G43),0)</f>
        <v>38</v>
      </c>
      <c r="O43" s="29"/>
      <c r="P43" s="29"/>
    </row>
    <row r="44" spans="1:16" x14ac:dyDescent="0.35">
      <c r="A44" s="33">
        <f>VLOOKUP(B44,Bhuv!A$1:M$2939,11,FALSE)</f>
        <v>43994</v>
      </c>
      <c r="B44" s="29" t="s">
        <v>55</v>
      </c>
      <c r="C44" s="29">
        <v>4</v>
      </c>
      <c r="D44" s="29">
        <f>IFERROR(VLOOKUP(B44,Holdings!A$1:C$95,2,FALSE),0)</f>
        <v>0</v>
      </c>
      <c r="E44" s="34">
        <f>IFERROR(VLOOKUP(B44,Holdings!A$1:C$95,3,FALSE),0)</f>
        <v>0</v>
      </c>
      <c r="F44" s="29"/>
      <c r="G44" s="35">
        <f>VLOOKUP(B44,Bhuv!A$1:M$2939,6,FALSE)</f>
        <v>1430.05</v>
      </c>
      <c r="H44" s="29"/>
      <c r="I44" s="34">
        <f>((G44 - VLOOKUP(B44,Bhuv!A$1:M$2939,8,FALSE))/G44)*100</f>
        <v>0.8915772175798049</v>
      </c>
      <c r="J44" s="34">
        <f t="shared" si="1"/>
        <v>0</v>
      </c>
      <c r="K44" s="34">
        <f>IFERROR(((G44-VLOOKUP(B44,Holdings!A$1:C$95,3,FALSE))/VLOOKUP(B44,Holdings!A$1:C$95,3,FALSE))*100,0)</f>
        <v>0</v>
      </c>
      <c r="L44" s="36">
        <f>IF((MM!J$2-(D44*E44)) &gt; MM!K$2,((MM!K$2)/G44),(((MM!J$2-(D44*E44)))/G44))</f>
        <v>2.8115358903534839</v>
      </c>
      <c r="M44" s="34">
        <f t="shared" si="0"/>
        <v>0</v>
      </c>
      <c r="N44" s="29">
        <f>ROUND(((MM!K$2)/G44),0)</f>
        <v>3</v>
      </c>
      <c r="O44" s="29"/>
      <c r="P44" s="29"/>
    </row>
    <row r="45" spans="1:16" x14ac:dyDescent="0.35">
      <c r="A45" s="33">
        <f>VLOOKUP(B45,Bhuv!A$1:M$2939,11,FALSE)</f>
        <v>43994</v>
      </c>
      <c r="B45" s="29" t="s">
        <v>290</v>
      </c>
      <c r="C45" s="29">
        <v>5</v>
      </c>
      <c r="D45" s="29">
        <f>IFERROR(VLOOKUP(B45,Holdings!A$1:C$95,2,FALSE),0)</f>
        <v>0</v>
      </c>
      <c r="E45" s="34">
        <f>IFERROR(VLOOKUP(B45,Holdings!A$1:C$95,3,FALSE),0)</f>
        <v>0</v>
      </c>
      <c r="F45" s="29"/>
      <c r="G45" s="35">
        <f>VLOOKUP(B45,Bhuv!A$1:M$2939,6,FALSE)</f>
        <v>34.65</v>
      </c>
      <c r="H45" s="29"/>
      <c r="I45" s="34">
        <f>((G45 - VLOOKUP(B45,Bhuv!A$1:M$2939,8,FALSE))/G45)*100</f>
        <v>2.8860028860028861</v>
      </c>
      <c r="J45" s="34">
        <f t="shared" si="1"/>
        <v>0</v>
      </c>
      <c r="K45" s="34">
        <f>IFERROR(((G45-VLOOKUP(B45,Holdings!A$1:C$95,3,FALSE))/VLOOKUP(B45,Holdings!A$1:C$95,3,FALSE))*100,0)</f>
        <v>0</v>
      </c>
      <c r="L45" s="36">
        <f>IF((MM!J$2-(D45*E45)) &gt; MM!K$2,((MM!K$2)/G45),(((MM!J$2-(D45*E45)))/G45))</f>
        <v>116.03569696969696</v>
      </c>
      <c r="M45" s="34">
        <f t="shared" si="0"/>
        <v>0</v>
      </c>
      <c r="N45" s="29">
        <f>ROUND(((MM!K$2)/G45),0)</f>
        <v>116</v>
      </c>
      <c r="O45" s="29"/>
      <c r="P45" s="29"/>
    </row>
    <row r="46" spans="1:16" x14ac:dyDescent="0.35">
      <c r="A46" s="24"/>
      <c r="B46" s="25"/>
      <c r="C46" s="25"/>
      <c r="D46" s="25"/>
      <c r="E46" s="26"/>
      <c r="F46" s="32"/>
      <c r="G46" s="27"/>
      <c r="H46" s="32"/>
      <c r="I46" s="26"/>
      <c r="J46" s="26"/>
      <c r="K46" s="26"/>
      <c r="L46" s="28"/>
      <c r="M46" s="26"/>
      <c r="N46" s="25"/>
      <c r="O46" s="25"/>
      <c r="P46" s="25"/>
    </row>
    <row r="47" spans="1:16" x14ac:dyDescent="0.35">
      <c r="A47" s="46"/>
      <c r="B47" s="47"/>
      <c r="C47" s="47"/>
      <c r="D47" s="47"/>
      <c r="E47" s="48"/>
      <c r="F47" s="49"/>
      <c r="G47" s="50"/>
      <c r="H47" s="49"/>
      <c r="I47" s="48"/>
      <c r="J47" s="48"/>
      <c r="K47" s="48"/>
      <c r="L47" s="51"/>
      <c r="M47" s="48"/>
      <c r="N47" s="47"/>
      <c r="O47" s="47"/>
      <c r="P47" s="47"/>
    </row>
    <row r="48" spans="1:16" x14ac:dyDescent="0.35">
      <c r="A48" s="24"/>
      <c r="B48" s="25"/>
      <c r="C48" s="25"/>
      <c r="D48" s="25"/>
      <c r="E48" s="26"/>
      <c r="F48" s="29"/>
      <c r="G48" s="27"/>
      <c r="H48" s="29"/>
      <c r="I48" s="26"/>
      <c r="J48" s="26"/>
      <c r="K48" s="26"/>
      <c r="L48" s="28"/>
      <c r="M48" s="26"/>
      <c r="N48" s="25"/>
      <c r="O48" s="25"/>
      <c r="P48" s="25"/>
    </row>
    <row r="49" spans="1:16" x14ac:dyDescent="0.35">
      <c r="A49" s="24"/>
      <c r="B49" s="25"/>
      <c r="C49" s="25"/>
      <c r="D49" s="25"/>
      <c r="E49" s="26"/>
      <c r="F49" s="29"/>
      <c r="G49" s="27"/>
      <c r="H49" s="29"/>
      <c r="I49" s="26"/>
      <c r="J49" s="26"/>
      <c r="K49" s="26"/>
      <c r="L49" s="28"/>
      <c r="M49" s="26"/>
      <c r="N49" s="25"/>
      <c r="O49" s="25"/>
      <c r="P49" s="25"/>
    </row>
    <row r="50" spans="1:16" x14ac:dyDescent="0.35">
      <c r="A50" s="24"/>
      <c r="B50" s="25"/>
      <c r="C50" s="25"/>
      <c r="D50" s="25"/>
      <c r="E50" s="26"/>
      <c r="F50" s="29"/>
      <c r="G50" s="27"/>
      <c r="H50" s="29"/>
      <c r="I50" s="26"/>
      <c r="J50" s="26"/>
      <c r="K50" s="26"/>
      <c r="L50" s="28"/>
      <c r="M50" s="26"/>
      <c r="N50" s="25"/>
      <c r="O50" s="25"/>
      <c r="P50" s="25"/>
    </row>
    <row r="51" spans="1:16" x14ac:dyDescent="0.35">
      <c r="A51" s="24"/>
      <c r="B51" s="25"/>
      <c r="C51" s="25"/>
      <c r="D51" s="25"/>
      <c r="E51" s="26"/>
      <c r="F51" s="29"/>
      <c r="G51" s="27"/>
      <c r="H51" s="29"/>
      <c r="I51" s="26"/>
      <c r="J51" s="26"/>
      <c r="K51" s="26"/>
      <c r="L51" s="28"/>
      <c r="M51" s="26"/>
      <c r="N51" s="25"/>
      <c r="O51" s="25"/>
      <c r="P51" s="25"/>
    </row>
    <row r="52" spans="1:16" x14ac:dyDescent="0.35">
      <c r="A52" s="24"/>
      <c r="B52" s="25"/>
      <c r="C52" s="25"/>
      <c r="D52" s="25"/>
      <c r="E52" s="26"/>
      <c r="F52" s="29"/>
      <c r="G52" s="27"/>
      <c r="H52" s="29"/>
      <c r="I52" s="26"/>
      <c r="J52" s="26"/>
      <c r="K52" s="26"/>
      <c r="L52" s="28"/>
      <c r="M52" s="26"/>
      <c r="N52" s="25"/>
      <c r="O52" s="25"/>
      <c r="P52" s="25"/>
    </row>
    <row r="53" spans="1:16" x14ac:dyDescent="0.35">
      <c r="A53" s="24"/>
      <c r="B53" s="25"/>
      <c r="C53" s="25"/>
      <c r="D53" s="25"/>
      <c r="E53" s="26"/>
      <c r="F53" s="29"/>
      <c r="G53" s="27"/>
      <c r="H53" s="29"/>
      <c r="I53" s="26"/>
      <c r="J53" s="26"/>
      <c r="K53" s="26"/>
      <c r="L53" s="28"/>
      <c r="M53" s="26"/>
      <c r="N53" s="25"/>
      <c r="O53" s="25"/>
      <c r="P53" s="25"/>
    </row>
    <row r="54" spans="1:16" x14ac:dyDescent="0.35">
      <c r="A54" s="24"/>
      <c r="B54" s="25"/>
      <c r="C54" s="25"/>
      <c r="D54" s="25"/>
      <c r="E54" s="26"/>
      <c r="F54" s="29"/>
      <c r="G54" s="27"/>
      <c r="H54" s="29"/>
      <c r="I54" s="26"/>
      <c r="J54" s="26"/>
      <c r="K54" s="26"/>
      <c r="L54" s="28"/>
      <c r="M54" s="26"/>
      <c r="N54" s="25"/>
      <c r="O54" s="25"/>
      <c r="P54" s="25"/>
    </row>
    <row r="55" spans="1:16" x14ac:dyDescent="0.35">
      <c r="A55" s="24"/>
      <c r="B55" s="25"/>
      <c r="C55" s="25"/>
      <c r="D55" s="25"/>
      <c r="E55" s="26"/>
      <c r="F55" s="29"/>
      <c r="G55" s="27"/>
      <c r="H55" s="29"/>
      <c r="I55" s="26"/>
      <c r="J55" s="26"/>
      <c r="K55" s="26"/>
      <c r="L55" s="28"/>
      <c r="M55" s="26"/>
      <c r="N55" s="25"/>
      <c r="O55" s="25"/>
      <c r="P55" s="25"/>
    </row>
    <row r="56" spans="1:16" x14ac:dyDescent="0.35">
      <c r="A56" s="24"/>
      <c r="B56" s="25"/>
      <c r="C56" s="25"/>
      <c r="D56" s="25"/>
      <c r="E56" s="26"/>
      <c r="F56" s="29"/>
      <c r="G56" s="27"/>
      <c r="H56" s="29"/>
      <c r="I56" s="26"/>
      <c r="J56" s="26"/>
      <c r="K56" s="26"/>
      <c r="L56" s="28"/>
      <c r="M56" s="26"/>
      <c r="N56" s="25"/>
      <c r="O56" s="25"/>
      <c r="P56" s="25"/>
    </row>
    <row r="57" spans="1:16" x14ac:dyDescent="0.35">
      <c r="A57" s="24"/>
      <c r="B57" s="25"/>
      <c r="C57" s="25"/>
      <c r="D57" s="25"/>
      <c r="E57" s="26"/>
      <c r="F57" s="29"/>
      <c r="G57" s="27"/>
      <c r="H57" s="29"/>
      <c r="I57" s="26"/>
      <c r="J57" s="26"/>
      <c r="K57" s="26"/>
      <c r="L57" s="28"/>
      <c r="M57" s="26"/>
      <c r="N57" s="25"/>
      <c r="O57" s="25"/>
      <c r="P57" s="25"/>
    </row>
    <row r="58" spans="1:16" x14ac:dyDescent="0.35">
      <c r="A58" s="24"/>
      <c r="B58" s="25"/>
      <c r="C58" s="25"/>
      <c r="D58" s="25"/>
      <c r="E58" s="26"/>
      <c r="F58" s="29"/>
      <c r="G58" s="27"/>
      <c r="H58" s="29"/>
      <c r="I58" s="26"/>
      <c r="J58" s="26"/>
      <c r="K58" s="26"/>
      <c r="L58" s="28"/>
      <c r="M58" s="26"/>
      <c r="N58" s="25"/>
      <c r="O58" s="25"/>
      <c r="P58" s="25"/>
    </row>
    <row r="59" spans="1:16" x14ac:dyDescent="0.35">
      <c r="A59" s="24"/>
      <c r="B59" s="25"/>
      <c r="C59" s="25"/>
      <c r="D59" s="25"/>
      <c r="E59" s="26"/>
      <c r="F59" s="29"/>
      <c r="G59" s="27"/>
      <c r="H59" s="29"/>
      <c r="I59" s="26"/>
      <c r="J59" s="26"/>
      <c r="K59" s="26"/>
      <c r="L59" s="28"/>
      <c r="M59" s="26"/>
      <c r="N59" s="25"/>
      <c r="O59" s="25"/>
      <c r="P59" s="25"/>
    </row>
    <row r="60" spans="1:16" x14ac:dyDescent="0.35">
      <c r="A60" s="24"/>
      <c r="B60" s="25"/>
      <c r="C60" s="25"/>
      <c r="D60" s="25"/>
      <c r="E60" s="26"/>
      <c r="F60" s="29"/>
      <c r="G60" s="27"/>
      <c r="H60" s="29"/>
      <c r="I60" s="26"/>
      <c r="J60" s="26"/>
      <c r="K60" s="26"/>
      <c r="L60" s="28"/>
      <c r="M60" s="26"/>
      <c r="N60" s="25"/>
      <c r="O60" s="25"/>
      <c r="P60" s="25"/>
    </row>
    <row r="61" spans="1:16" x14ac:dyDescent="0.35">
      <c r="A61" s="24"/>
      <c r="B61" s="25"/>
      <c r="C61" s="25"/>
      <c r="D61" s="25"/>
      <c r="E61" s="26"/>
      <c r="F61" s="29"/>
      <c r="G61" s="27"/>
      <c r="H61" s="29"/>
      <c r="I61" s="26"/>
      <c r="J61" s="26"/>
      <c r="K61" s="26"/>
      <c r="L61" s="28"/>
      <c r="M61" s="26"/>
      <c r="N61" s="25"/>
      <c r="O61" s="25"/>
      <c r="P61" s="25"/>
    </row>
    <row r="62" spans="1:16" x14ac:dyDescent="0.35">
      <c r="A62" s="24"/>
      <c r="B62" s="25"/>
      <c r="C62" s="25"/>
      <c r="D62" s="25"/>
      <c r="E62" s="26"/>
      <c r="F62" s="29"/>
      <c r="G62" s="27"/>
      <c r="H62" s="29"/>
      <c r="I62" s="26"/>
      <c r="J62" s="26"/>
      <c r="K62" s="26"/>
      <c r="L62" s="28"/>
      <c r="M62" s="26"/>
      <c r="N62" s="25"/>
      <c r="O62" s="25"/>
      <c r="P62" s="25"/>
    </row>
    <row r="63" spans="1:16" x14ac:dyDescent="0.35">
      <c r="A63" s="24"/>
      <c r="B63" s="25"/>
      <c r="C63" s="25"/>
      <c r="D63" s="25"/>
      <c r="E63" s="26"/>
      <c r="F63" s="29"/>
      <c r="G63" s="27"/>
      <c r="H63" s="29"/>
      <c r="I63" s="26"/>
      <c r="J63" s="26"/>
      <c r="K63" s="26"/>
      <c r="L63" s="28"/>
      <c r="M63" s="26"/>
      <c r="N63" s="25"/>
      <c r="O63" s="25"/>
      <c r="P63" s="25"/>
    </row>
    <row r="64" spans="1:16" x14ac:dyDescent="0.35">
      <c r="A64" s="24"/>
      <c r="B64" s="25"/>
      <c r="C64" s="25"/>
      <c r="D64" s="25"/>
      <c r="E64" s="26"/>
      <c r="F64" s="29"/>
      <c r="G64" s="27"/>
      <c r="H64" s="29"/>
      <c r="I64" s="26"/>
      <c r="J64" s="26"/>
      <c r="K64" s="26"/>
      <c r="L64" s="28"/>
      <c r="M64" s="26"/>
      <c r="N64" s="25"/>
      <c r="O64" s="25"/>
      <c r="P64" s="25"/>
    </row>
    <row r="65" spans="1:16" x14ac:dyDescent="0.35">
      <c r="A65" s="24"/>
      <c r="B65" s="25"/>
      <c r="C65" s="25"/>
      <c r="D65" s="25"/>
      <c r="E65" s="26"/>
      <c r="F65" s="29"/>
      <c r="G65" s="27"/>
      <c r="H65" s="29"/>
      <c r="I65" s="26"/>
      <c r="J65" s="26"/>
      <c r="K65" s="26"/>
      <c r="L65" s="28"/>
      <c r="M65" s="26"/>
      <c r="N65" s="25"/>
      <c r="O65" s="25"/>
      <c r="P65" s="25"/>
    </row>
    <row r="66" spans="1:16" x14ac:dyDescent="0.35">
      <c r="A66" s="24"/>
      <c r="B66" s="25"/>
      <c r="C66" s="25"/>
      <c r="D66" s="25"/>
      <c r="E66" s="26"/>
      <c r="F66" s="29"/>
      <c r="G66" s="27"/>
      <c r="H66" s="29"/>
      <c r="I66" s="26"/>
      <c r="J66" s="26"/>
      <c r="K66" s="26"/>
      <c r="L66" s="28"/>
      <c r="M66" s="26"/>
      <c r="N66" s="25"/>
      <c r="O66" s="25"/>
      <c r="P66" s="25"/>
    </row>
    <row r="67" spans="1:16" x14ac:dyDescent="0.35">
      <c r="A67" s="24"/>
      <c r="B67" s="25"/>
      <c r="C67" s="25"/>
      <c r="D67" s="25"/>
      <c r="E67" s="26"/>
      <c r="F67" s="29"/>
      <c r="G67" s="27"/>
      <c r="H67" s="29"/>
      <c r="I67" s="26"/>
      <c r="J67" s="26"/>
      <c r="K67" s="26"/>
      <c r="L67" s="28"/>
      <c r="M67" s="26"/>
      <c r="N67" s="25"/>
      <c r="O67" s="25"/>
      <c r="P67" s="25"/>
    </row>
    <row r="68" spans="1:16" x14ac:dyDescent="0.35">
      <c r="A68" s="24"/>
      <c r="B68" s="25"/>
      <c r="C68" s="25"/>
      <c r="D68" s="25"/>
      <c r="E68" s="26"/>
      <c r="F68" s="29"/>
      <c r="G68" s="27"/>
      <c r="H68" s="29"/>
      <c r="I68" s="26"/>
      <c r="J68" s="26"/>
      <c r="K68" s="26"/>
      <c r="L68" s="28"/>
      <c r="M68" s="26"/>
      <c r="N68" s="25"/>
      <c r="O68" s="25"/>
      <c r="P68" s="25"/>
    </row>
    <row r="69" spans="1:16" x14ac:dyDescent="0.35">
      <c r="A69" s="24"/>
      <c r="B69" s="25"/>
      <c r="C69" s="25"/>
      <c r="D69" s="25"/>
      <c r="E69" s="26"/>
      <c r="F69" s="29"/>
      <c r="G69" s="27"/>
      <c r="H69" s="29"/>
      <c r="I69" s="26"/>
      <c r="J69" s="26"/>
      <c r="K69" s="26"/>
      <c r="L69" s="28"/>
      <c r="M69" s="26"/>
      <c r="N69" s="25"/>
      <c r="O69" s="25"/>
      <c r="P69" s="25"/>
    </row>
    <row r="70" spans="1:16" x14ac:dyDescent="0.35">
      <c r="A70" s="24"/>
      <c r="B70" s="25"/>
      <c r="C70" s="25"/>
      <c r="D70" s="25"/>
      <c r="E70" s="26"/>
      <c r="F70" s="29"/>
      <c r="G70" s="27"/>
      <c r="H70" s="29"/>
      <c r="I70" s="26"/>
      <c r="J70" s="26"/>
      <c r="K70" s="26"/>
      <c r="L70" s="28"/>
      <c r="M70" s="26"/>
      <c r="N70" s="25"/>
      <c r="O70" s="25"/>
      <c r="P70" s="25"/>
    </row>
    <row r="71" spans="1:16" x14ac:dyDescent="0.35">
      <c r="A71" s="24"/>
      <c r="B71" s="25"/>
      <c r="C71" s="25"/>
      <c r="D71" s="25"/>
      <c r="E71" s="26"/>
      <c r="F71" s="29"/>
      <c r="G71" s="27"/>
      <c r="H71" s="29"/>
      <c r="I71" s="26"/>
      <c r="J71" s="26"/>
      <c r="K71" s="26"/>
      <c r="L71" s="28"/>
      <c r="M71" s="26"/>
      <c r="N71" s="25"/>
      <c r="O71" s="25"/>
      <c r="P71" s="25"/>
    </row>
    <row r="72" spans="1:16" x14ac:dyDescent="0.35">
      <c r="A72" s="24"/>
      <c r="B72" s="25"/>
      <c r="C72" s="25"/>
      <c r="D72" s="25"/>
      <c r="E72" s="26"/>
      <c r="F72" s="29"/>
      <c r="G72" s="27"/>
      <c r="H72" s="29"/>
      <c r="I72" s="26"/>
      <c r="J72" s="26"/>
      <c r="K72" s="26"/>
      <c r="L72" s="28"/>
      <c r="M72" s="26"/>
      <c r="N72" s="25"/>
      <c r="O72" s="25"/>
      <c r="P72" s="25"/>
    </row>
    <row r="73" spans="1:16" x14ac:dyDescent="0.35">
      <c r="A73" s="24"/>
      <c r="B73" s="25"/>
      <c r="C73" s="25"/>
      <c r="D73" s="25"/>
      <c r="E73" s="26"/>
      <c r="F73" s="29"/>
      <c r="G73" s="27"/>
      <c r="H73" s="29"/>
      <c r="I73" s="26"/>
      <c r="J73" s="26"/>
      <c r="K73" s="26"/>
      <c r="L73" s="28"/>
      <c r="M73" s="26"/>
      <c r="N73" s="25"/>
      <c r="O73" s="25"/>
      <c r="P73" s="25"/>
    </row>
    <row r="74" spans="1:16" x14ac:dyDescent="0.35">
      <c r="A74" s="24"/>
      <c r="B74" s="25"/>
      <c r="C74" s="25"/>
      <c r="D74" s="25"/>
      <c r="E74" s="26"/>
      <c r="F74" s="29"/>
      <c r="G74" s="27"/>
      <c r="H74" s="29"/>
      <c r="I74" s="26"/>
      <c r="J74" s="26"/>
      <c r="K74" s="26"/>
      <c r="L74" s="28"/>
      <c r="M74" s="26"/>
      <c r="N74" s="25"/>
      <c r="O74" s="25"/>
      <c r="P74" s="25"/>
    </row>
    <row r="75" spans="1:16" x14ac:dyDescent="0.35">
      <c r="A75" s="24"/>
      <c r="B75" s="25"/>
      <c r="C75" s="25"/>
      <c r="D75" s="25"/>
      <c r="E75" s="26"/>
      <c r="F75" s="29"/>
      <c r="G75" s="27"/>
      <c r="H75" s="29"/>
      <c r="I75" s="26"/>
      <c r="J75" s="26"/>
      <c r="K75" s="26"/>
      <c r="L75" s="28"/>
      <c r="M75" s="26"/>
      <c r="N75" s="25"/>
      <c r="O75" s="25"/>
      <c r="P75" s="25"/>
    </row>
    <row r="76" spans="1:16" x14ac:dyDescent="0.35">
      <c r="A76" s="24"/>
      <c r="B76" s="25"/>
      <c r="C76" s="25"/>
      <c r="D76" s="25"/>
      <c r="E76" s="26"/>
      <c r="F76" s="29"/>
      <c r="G76" s="27"/>
      <c r="H76" s="29"/>
      <c r="I76" s="26"/>
      <c r="J76" s="26"/>
      <c r="K76" s="26"/>
      <c r="L76" s="28"/>
      <c r="M76" s="26"/>
      <c r="N76" s="25"/>
      <c r="O76" s="25"/>
      <c r="P76" s="25"/>
    </row>
    <row r="77" spans="1:16" x14ac:dyDescent="0.35">
      <c r="A77" s="24"/>
      <c r="B77" s="25"/>
      <c r="C77" s="25"/>
      <c r="D77" s="25"/>
      <c r="E77" s="26"/>
      <c r="F77" s="29"/>
      <c r="G77" s="27"/>
      <c r="H77" s="29"/>
      <c r="I77" s="26"/>
      <c r="J77" s="26"/>
      <c r="K77" s="26"/>
      <c r="L77" s="28"/>
      <c r="M77" s="26"/>
      <c r="N77" s="25"/>
      <c r="O77" s="25"/>
      <c r="P77" s="25"/>
    </row>
    <row r="78" spans="1:16" x14ac:dyDescent="0.35">
      <c r="A78" s="24"/>
      <c r="B78" s="25"/>
      <c r="C78" s="25"/>
      <c r="D78" s="25"/>
      <c r="E78" s="26"/>
      <c r="F78" s="29"/>
      <c r="G78" s="27"/>
      <c r="H78" s="29"/>
      <c r="I78" s="26"/>
      <c r="J78" s="26"/>
      <c r="K78" s="26"/>
      <c r="L78" s="28"/>
      <c r="M78" s="26"/>
      <c r="N78" s="25"/>
      <c r="O78" s="25"/>
      <c r="P78" s="25"/>
    </row>
    <row r="79" spans="1:16" x14ac:dyDescent="0.35">
      <c r="A79" s="24"/>
      <c r="B79" s="25"/>
      <c r="C79" s="25"/>
      <c r="D79" s="25"/>
      <c r="E79" s="26"/>
      <c r="F79" s="29"/>
      <c r="G79" s="27"/>
      <c r="H79" s="29"/>
      <c r="I79" s="26"/>
      <c r="J79" s="26"/>
      <c r="K79" s="26"/>
      <c r="L79" s="28"/>
      <c r="M79" s="26"/>
      <c r="N79" s="25"/>
      <c r="O79" s="25"/>
      <c r="P79" s="25"/>
    </row>
    <row r="80" spans="1:16" x14ac:dyDescent="0.35">
      <c r="A80" s="24"/>
      <c r="B80" s="25"/>
      <c r="C80" s="25"/>
      <c r="D80" s="25"/>
      <c r="E80" s="26"/>
      <c r="F80" s="29"/>
      <c r="G80" s="27"/>
      <c r="H80" s="29"/>
      <c r="I80" s="26"/>
      <c r="J80" s="26"/>
      <c r="K80" s="26"/>
      <c r="L80" s="28"/>
      <c r="M80" s="26"/>
      <c r="N80" s="25"/>
      <c r="O80" s="25"/>
      <c r="P80" s="25"/>
    </row>
    <row r="81" spans="1:16" x14ac:dyDescent="0.35">
      <c r="A81" s="24"/>
      <c r="B81" s="25"/>
      <c r="C81" s="25"/>
      <c r="D81" s="25"/>
      <c r="E81" s="26"/>
      <c r="F81" s="29"/>
      <c r="G81" s="27"/>
      <c r="H81" s="29"/>
      <c r="I81" s="26"/>
      <c r="J81" s="26"/>
      <c r="K81" s="26"/>
      <c r="L81" s="28"/>
      <c r="M81" s="26"/>
      <c r="N81" s="25"/>
      <c r="O81" s="25"/>
      <c r="P81" s="25"/>
    </row>
    <row r="82" spans="1:16" x14ac:dyDescent="0.35">
      <c r="A82" s="24"/>
      <c r="B82" s="25"/>
      <c r="C82" s="25"/>
      <c r="D82" s="25"/>
      <c r="E82" s="26"/>
      <c r="F82" s="29"/>
      <c r="G82" s="27"/>
      <c r="H82" s="29"/>
      <c r="I82" s="26"/>
      <c r="J82" s="26"/>
      <c r="K82" s="26"/>
      <c r="L82" s="28"/>
      <c r="M82" s="26"/>
      <c r="N82" s="25"/>
      <c r="O82" s="25"/>
      <c r="P82" s="25"/>
    </row>
    <row r="83" spans="1:16" x14ac:dyDescent="0.35">
      <c r="A83" s="24"/>
      <c r="B83" s="25"/>
      <c r="C83" s="25"/>
      <c r="D83" s="25"/>
      <c r="E83" s="26"/>
      <c r="F83" s="29"/>
      <c r="G83" s="27"/>
      <c r="H83" s="29"/>
      <c r="I83" s="26"/>
      <c r="J83" s="26"/>
      <c r="K83" s="26"/>
      <c r="L83" s="28"/>
      <c r="M83" s="26"/>
      <c r="N83" s="25"/>
      <c r="O83" s="25"/>
      <c r="P83" s="25"/>
    </row>
    <row r="84" spans="1:16" x14ac:dyDescent="0.35">
      <c r="A84" s="24"/>
      <c r="B84" s="25"/>
      <c r="C84" s="25"/>
      <c r="D84" s="25"/>
      <c r="E84" s="26"/>
      <c r="F84" s="29"/>
      <c r="G84" s="27"/>
      <c r="H84" s="29"/>
      <c r="I84" s="26"/>
      <c r="J84" s="26"/>
      <c r="K84" s="26"/>
      <c r="L84" s="28"/>
      <c r="M84" s="26"/>
      <c r="N84" s="25"/>
      <c r="O84" s="25"/>
      <c r="P84" s="25"/>
    </row>
    <row r="85" spans="1:16" x14ac:dyDescent="0.35">
      <c r="A85" s="24"/>
      <c r="B85" s="25"/>
      <c r="C85" s="25"/>
      <c r="D85" s="25"/>
      <c r="E85" s="26"/>
      <c r="F85" s="29"/>
      <c r="G85" s="27"/>
      <c r="H85" s="29"/>
      <c r="I85" s="26"/>
      <c r="J85" s="26"/>
      <c r="K85" s="26"/>
      <c r="L85" s="28"/>
      <c r="M85" s="26"/>
      <c r="N85" s="25"/>
      <c r="O85" s="25"/>
      <c r="P85" s="25"/>
    </row>
    <row r="86" spans="1:16" x14ac:dyDescent="0.35">
      <c r="A86" s="24"/>
      <c r="B86" s="25"/>
      <c r="C86" s="25"/>
      <c r="D86" s="25"/>
      <c r="E86" s="26"/>
      <c r="F86" s="29"/>
      <c r="G86" s="27"/>
      <c r="H86" s="29"/>
      <c r="I86" s="26"/>
      <c r="J86" s="26"/>
      <c r="K86" s="26"/>
      <c r="L86" s="28"/>
      <c r="M86" s="26"/>
      <c r="N86" s="25"/>
      <c r="O86" s="25"/>
      <c r="P86" s="25"/>
    </row>
    <row r="87" spans="1:16" x14ac:dyDescent="0.35">
      <c r="A87" s="24"/>
      <c r="B87" s="25"/>
      <c r="C87" s="25"/>
      <c r="D87" s="25"/>
      <c r="E87" s="26"/>
      <c r="F87" s="29"/>
      <c r="G87" s="27"/>
      <c r="H87" s="29"/>
      <c r="I87" s="26"/>
      <c r="J87" s="26"/>
      <c r="K87" s="26"/>
      <c r="L87" s="28"/>
      <c r="M87" s="26"/>
      <c r="N87" s="25"/>
      <c r="O87" s="25"/>
      <c r="P87" s="25"/>
    </row>
    <row r="88" spans="1:16" x14ac:dyDescent="0.35">
      <c r="A88" s="24"/>
      <c r="B88" s="25"/>
      <c r="C88" s="25"/>
      <c r="D88" s="25"/>
      <c r="E88" s="26"/>
      <c r="F88" s="29"/>
      <c r="G88" s="27"/>
      <c r="H88" s="29"/>
      <c r="I88" s="26"/>
      <c r="J88" s="26"/>
      <c r="K88" s="26"/>
      <c r="L88" s="28"/>
      <c r="M88" s="26"/>
      <c r="N88" s="25"/>
      <c r="O88" s="25"/>
      <c r="P88" s="25"/>
    </row>
    <row r="89" spans="1:16" x14ac:dyDescent="0.35">
      <c r="A89" s="24"/>
      <c r="B89" s="25"/>
      <c r="C89" s="25"/>
      <c r="D89" s="25"/>
      <c r="E89" s="26"/>
      <c r="F89" s="29"/>
      <c r="G89" s="27"/>
      <c r="H89" s="29"/>
      <c r="I89" s="26"/>
      <c r="J89" s="26"/>
      <c r="K89" s="26"/>
      <c r="L89" s="28"/>
      <c r="M89" s="26"/>
      <c r="N89" s="25"/>
      <c r="O89" s="25"/>
      <c r="P89" s="25"/>
    </row>
    <row r="90" spans="1:16" x14ac:dyDescent="0.35">
      <c r="A90" s="24"/>
      <c r="B90" s="25"/>
      <c r="C90" s="25"/>
      <c r="D90" s="25"/>
      <c r="E90" s="26"/>
      <c r="F90" s="29"/>
      <c r="G90" s="27"/>
      <c r="H90" s="29"/>
      <c r="I90" s="26"/>
      <c r="J90" s="26"/>
      <c r="K90" s="26"/>
      <c r="L90" s="28"/>
      <c r="M90" s="26"/>
      <c r="N90" s="25"/>
      <c r="O90" s="25"/>
      <c r="P90" s="25"/>
    </row>
    <row r="91" spans="1:16" x14ac:dyDescent="0.35">
      <c r="A91" s="24"/>
      <c r="B91" s="25"/>
      <c r="C91" s="25"/>
      <c r="D91" s="25"/>
      <c r="E91" s="26"/>
      <c r="F91" s="29"/>
      <c r="G91" s="27"/>
      <c r="H91" s="29"/>
      <c r="I91" s="26"/>
      <c r="J91" s="26"/>
      <c r="K91" s="26"/>
      <c r="L91" s="28"/>
      <c r="M91" s="26"/>
      <c r="N91" s="25"/>
      <c r="O91" s="25"/>
      <c r="P91" s="25"/>
    </row>
    <row r="92" spans="1:16" x14ac:dyDescent="0.35">
      <c r="A92" s="24"/>
      <c r="B92" s="25"/>
      <c r="C92" s="25"/>
      <c r="D92" s="25"/>
      <c r="E92" s="26"/>
      <c r="F92" s="29"/>
      <c r="G92" s="27"/>
      <c r="H92" s="29"/>
      <c r="I92" s="26"/>
      <c r="J92" s="26"/>
      <c r="K92" s="26"/>
      <c r="L92" s="28"/>
      <c r="M92" s="26"/>
      <c r="N92" s="25"/>
      <c r="O92" s="25"/>
      <c r="P92" s="25"/>
    </row>
    <row r="93" spans="1:16" x14ac:dyDescent="0.35">
      <c r="A93" s="24"/>
      <c r="B93" s="25"/>
      <c r="C93" s="25"/>
      <c r="D93" s="25"/>
      <c r="E93" s="26"/>
      <c r="F93" s="29"/>
      <c r="G93" s="27"/>
      <c r="H93" s="29"/>
      <c r="I93" s="26"/>
      <c r="J93" s="26"/>
      <c r="K93" s="26"/>
      <c r="L93" s="28"/>
      <c r="M93" s="26"/>
      <c r="N93" s="25"/>
      <c r="O93" s="25"/>
      <c r="P93" s="25"/>
    </row>
    <row r="94" spans="1:16" x14ac:dyDescent="0.35">
      <c r="A94" s="24"/>
      <c r="B94" s="25"/>
      <c r="C94" s="25"/>
      <c r="D94" s="25"/>
      <c r="E94" s="26"/>
      <c r="F94" s="29"/>
      <c r="G94" s="27"/>
      <c r="H94" s="29"/>
      <c r="I94" s="26"/>
      <c r="J94" s="26"/>
      <c r="K94" s="26"/>
      <c r="L94" s="28"/>
      <c r="M94" s="26"/>
      <c r="N94" s="25"/>
      <c r="O94" s="25"/>
      <c r="P94" s="25"/>
    </row>
    <row r="95" spans="1:16" x14ac:dyDescent="0.35">
      <c r="A95" s="24"/>
      <c r="B95" s="25"/>
      <c r="C95" s="25"/>
      <c r="D95" s="25"/>
      <c r="E95" s="26"/>
      <c r="F95" s="29"/>
      <c r="G95" s="27"/>
      <c r="H95" s="29"/>
      <c r="I95" s="26"/>
      <c r="J95" s="26"/>
      <c r="K95" s="26"/>
      <c r="L95" s="28"/>
      <c r="M95" s="26"/>
      <c r="N95" s="25"/>
      <c r="O95" s="25"/>
      <c r="P95" s="25"/>
    </row>
    <row r="96" spans="1:16" x14ac:dyDescent="0.35">
      <c r="A96" s="24"/>
      <c r="B96" s="25"/>
      <c r="C96" s="25"/>
      <c r="D96" s="25"/>
      <c r="E96" s="26"/>
      <c r="F96" s="29"/>
      <c r="G96" s="27"/>
      <c r="H96" s="29"/>
      <c r="I96" s="26"/>
      <c r="J96" s="26"/>
      <c r="K96" s="26"/>
      <c r="L96" s="28"/>
      <c r="M96" s="26"/>
      <c r="N96" s="25"/>
      <c r="O96" s="25"/>
      <c r="P96" s="25"/>
    </row>
    <row r="97" spans="1:16" x14ac:dyDescent="0.35">
      <c r="A97" s="24"/>
      <c r="B97" s="25"/>
      <c r="C97" s="25"/>
      <c r="D97" s="25"/>
      <c r="E97" s="26"/>
      <c r="F97" s="29"/>
      <c r="G97" s="27"/>
      <c r="H97" s="29"/>
      <c r="I97" s="26"/>
      <c r="J97" s="26"/>
      <c r="K97" s="26"/>
      <c r="L97" s="28"/>
      <c r="M97" s="26"/>
      <c r="N97" s="25"/>
      <c r="O97" s="25"/>
      <c r="P97" s="25"/>
    </row>
    <row r="98" spans="1:16" x14ac:dyDescent="0.35">
      <c r="A98" s="24"/>
      <c r="B98" s="25"/>
      <c r="C98" s="25"/>
      <c r="D98" s="25"/>
      <c r="E98" s="26"/>
      <c r="F98" s="29"/>
      <c r="G98" s="27"/>
      <c r="H98" s="29"/>
      <c r="I98" s="26"/>
      <c r="J98" s="26"/>
      <c r="K98" s="26"/>
      <c r="L98" s="28"/>
      <c r="M98" s="26"/>
      <c r="N98" s="25"/>
      <c r="O98" s="25"/>
      <c r="P98" s="25"/>
    </row>
    <row r="99" spans="1:16" x14ac:dyDescent="0.35">
      <c r="A99" s="24"/>
      <c r="B99" s="25"/>
      <c r="C99" s="25"/>
      <c r="D99" s="25"/>
      <c r="E99" s="26"/>
      <c r="F99" s="29"/>
      <c r="G99" s="27"/>
      <c r="H99" s="29"/>
      <c r="I99" s="26"/>
      <c r="J99" s="26"/>
      <c r="K99" s="26"/>
      <c r="L99" s="28"/>
      <c r="M99" s="26"/>
      <c r="N99" s="25"/>
      <c r="O99" s="25"/>
      <c r="P99" s="25"/>
    </row>
    <row r="100" spans="1:16" x14ac:dyDescent="0.35">
      <c r="A100" s="24"/>
      <c r="B100" s="25"/>
      <c r="C100" s="25"/>
      <c r="D100" s="25"/>
      <c r="E100" s="26"/>
      <c r="F100" s="29"/>
      <c r="G100" s="27"/>
      <c r="H100" s="29"/>
      <c r="I100" s="26"/>
      <c r="J100" s="26"/>
      <c r="K100" s="26"/>
      <c r="L100" s="28"/>
      <c r="M100" s="26"/>
      <c r="N100" s="25"/>
      <c r="O100" s="25"/>
      <c r="P100" s="25"/>
    </row>
  </sheetData>
  <autoFilter ref="A1:P45" xr:uid="{00000000-0009-0000-0000-000004000000}"/>
  <conditionalFormatting sqref="B2:B45">
    <cfRule type="expression" dxfId="0" priority="1">
      <formula>OR(G2&lt;F2,G2&gt;H2)</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P45"/>
  <sheetViews>
    <sheetView workbookViewId="0">
      <selection activeCell="B12" sqref="B12"/>
    </sheetView>
  </sheetViews>
  <sheetFormatPr defaultRowHeight="14.5" x14ac:dyDescent="0.35"/>
  <cols>
    <col min="1" max="1" width="9.453125" style="19" bestFit="1" customWidth="1"/>
    <col min="2" max="2" width="13.54296875" bestFit="1" customWidth="1"/>
    <col min="3" max="3" width="3" bestFit="1" customWidth="1"/>
    <col min="4" max="4" width="6.81640625" bestFit="1" customWidth="1"/>
    <col min="5" max="5" width="11.81640625" style="1" bestFit="1" customWidth="1"/>
    <col min="6" max="8" width="9" style="1" bestFit="1" customWidth="1"/>
    <col min="9" max="9" width="12.54296875" style="1" bestFit="1" customWidth="1"/>
    <col min="10" max="10" width="11.81640625" style="1" bestFit="1" customWidth="1"/>
    <col min="11" max="13" width="12.54296875" style="1" bestFit="1" customWidth="1"/>
    <col min="14" max="14" width="6.453125" customWidth="1"/>
    <col min="15" max="15" width="12.453125" customWidth="1"/>
    <col min="16" max="16" width="63.54296875" bestFit="1" customWidth="1"/>
  </cols>
  <sheetData>
    <row r="1" spans="1:16" s="30" customFormat="1" x14ac:dyDescent="0.35">
      <c r="A1" s="31" t="s">
        <v>63</v>
      </c>
      <c r="B1" s="30" t="s">
        <v>14</v>
      </c>
      <c r="C1" s="30" t="s">
        <v>3308</v>
      </c>
      <c r="D1" s="30" t="s">
        <v>11</v>
      </c>
      <c r="E1" s="39" t="s">
        <v>3309</v>
      </c>
      <c r="F1" s="39" t="s">
        <v>3311</v>
      </c>
      <c r="G1" s="39" t="s">
        <v>3310</v>
      </c>
      <c r="H1" s="39" t="s">
        <v>3312</v>
      </c>
      <c r="I1" s="39" t="s">
        <v>3314</v>
      </c>
      <c r="J1" s="39" t="s">
        <v>12</v>
      </c>
      <c r="K1" s="39" t="s">
        <v>69</v>
      </c>
      <c r="L1" s="39" t="s">
        <v>4127</v>
      </c>
      <c r="M1" s="39" t="s">
        <v>3321</v>
      </c>
      <c r="N1" s="30" t="s">
        <v>4121</v>
      </c>
      <c r="O1" s="30" t="s">
        <v>3313</v>
      </c>
      <c r="P1" s="30" t="s">
        <v>3126</v>
      </c>
    </row>
    <row r="2" spans="1:16" x14ac:dyDescent="0.35">
      <c r="A2" s="19">
        <v>43994</v>
      </c>
      <c r="B2" t="s">
        <v>25</v>
      </c>
      <c r="C2">
        <v>1</v>
      </c>
      <c r="D2">
        <v>130</v>
      </c>
      <c r="E2" s="1">
        <v>46.957142857142856</v>
      </c>
      <c r="F2" s="1">
        <v>47</v>
      </c>
      <c r="G2" s="1">
        <v>52.35</v>
      </c>
      <c r="H2" s="1">
        <v>57</v>
      </c>
      <c r="I2" s="1">
        <v>2.3877745940783188</v>
      </c>
      <c r="J2" s="1">
        <v>701.07142857142844</v>
      </c>
      <c r="K2" s="1">
        <v>11.484636446607857</v>
      </c>
      <c r="L2" s="1">
        <v>76.802997134670477</v>
      </c>
      <c r="M2" s="1">
        <v>9.1268634012781069E-2</v>
      </c>
      <c r="N2">
        <v>77</v>
      </c>
    </row>
    <row r="3" spans="1:16" x14ac:dyDescent="0.35">
      <c r="A3" s="19">
        <v>43994</v>
      </c>
      <c r="B3" t="s">
        <v>38</v>
      </c>
      <c r="C3">
        <v>1</v>
      </c>
      <c r="D3">
        <v>1</v>
      </c>
      <c r="E3" s="1">
        <v>16910.150000000001</v>
      </c>
      <c r="F3" s="1">
        <v>16000</v>
      </c>
      <c r="G3" s="1">
        <v>16857.3</v>
      </c>
      <c r="H3" s="1">
        <v>17700</v>
      </c>
      <c r="I3" s="1">
        <v>2.4588753833650707</v>
      </c>
      <c r="J3" s="1">
        <v>-52.850000000002183</v>
      </c>
      <c r="K3" s="1">
        <v>-0.3125341880468368</v>
      </c>
      <c r="L3" s="1">
        <v>-0.28760473504060574</v>
      </c>
      <c r="M3" s="1">
        <v>-5.3822704115575641</v>
      </c>
      <c r="N3">
        <v>0</v>
      </c>
    </row>
    <row r="4" spans="1:16" x14ac:dyDescent="0.35">
      <c r="A4" s="19">
        <v>43994</v>
      </c>
      <c r="B4" t="s">
        <v>42</v>
      </c>
      <c r="C4">
        <v>1</v>
      </c>
      <c r="D4">
        <v>1</v>
      </c>
      <c r="E4" s="1">
        <v>2374.25</v>
      </c>
      <c r="F4" s="1">
        <v>2250</v>
      </c>
      <c r="G4" s="1">
        <v>2401.85</v>
      </c>
      <c r="H4" s="1">
        <v>2520</v>
      </c>
      <c r="I4" s="1">
        <v>3.8262172908383159</v>
      </c>
      <c r="J4" s="1">
        <v>27.599999999999909</v>
      </c>
      <c r="K4" s="1">
        <v>1.1624723596925306</v>
      </c>
      <c r="L4" s="1">
        <v>1.6739750192559901</v>
      </c>
      <c r="M4" s="1">
        <v>-5.2332315468042543</v>
      </c>
      <c r="N4">
        <v>2</v>
      </c>
    </row>
    <row r="5" spans="1:16" x14ac:dyDescent="0.35">
      <c r="A5" s="19">
        <v>43994</v>
      </c>
      <c r="B5" t="s">
        <v>51</v>
      </c>
      <c r="C5">
        <v>1</v>
      </c>
      <c r="D5">
        <v>4</v>
      </c>
      <c r="E5" s="1">
        <v>5692.1</v>
      </c>
      <c r="F5" s="1">
        <v>5300</v>
      </c>
      <c r="G5" s="1">
        <v>5561.75</v>
      </c>
      <c r="H5" s="1">
        <v>5963</v>
      </c>
      <c r="I5" s="1">
        <v>2.4380815390839281</v>
      </c>
      <c r="J5" s="1">
        <v>-521.40000000000146</v>
      </c>
      <c r="K5" s="1">
        <v>-2.2900159870698049</v>
      </c>
      <c r="L5" s="1">
        <v>-1.9250216748325621</v>
      </c>
      <c r="M5" s="1">
        <v>-6.888494580207662</v>
      </c>
      <c r="N5">
        <v>1</v>
      </c>
    </row>
    <row r="6" spans="1:16" x14ac:dyDescent="0.35">
      <c r="A6" s="19">
        <v>43994</v>
      </c>
      <c r="B6" t="s">
        <v>52</v>
      </c>
      <c r="C6">
        <v>1</v>
      </c>
      <c r="D6">
        <v>56</v>
      </c>
      <c r="E6" s="1">
        <v>91.190909090909088</v>
      </c>
      <c r="F6" s="1">
        <v>93</v>
      </c>
      <c r="G6" s="1">
        <v>94.95</v>
      </c>
      <c r="H6" s="1">
        <v>110</v>
      </c>
      <c r="I6" s="1">
        <v>1.4744602422327602</v>
      </c>
      <c r="J6" s="1">
        <v>210.50909090909136</v>
      </c>
      <c r="K6" s="1">
        <v>4.1222211145449172</v>
      </c>
      <c r="L6" s="1">
        <v>42.344780410742487</v>
      </c>
      <c r="M6" s="1">
        <v>1.9838500647991264</v>
      </c>
      <c r="N6">
        <v>42</v>
      </c>
    </row>
    <row r="7" spans="1:16" x14ac:dyDescent="0.35">
      <c r="A7" s="19">
        <v>43994</v>
      </c>
      <c r="B7" t="s">
        <v>28</v>
      </c>
      <c r="C7">
        <v>1</v>
      </c>
      <c r="D7">
        <v>0</v>
      </c>
      <c r="E7" s="1">
        <v>0</v>
      </c>
      <c r="F7" s="1">
        <v>1924</v>
      </c>
      <c r="G7" s="1">
        <v>2450.15</v>
      </c>
      <c r="H7" s="1">
        <v>2573</v>
      </c>
      <c r="I7" s="1">
        <v>4.5405383343876906</v>
      </c>
      <c r="J7" s="1">
        <v>0</v>
      </c>
      <c r="K7" s="1">
        <v>0</v>
      </c>
      <c r="L7" s="1">
        <v>1.6409758178070728</v>
      </c>
      <c r="M7" s="1">
        <v>0</v>
      </c>
      <c r="N7">
        <v>2</v>
      </c>
    </row>
    <row r="8" spans="1:16" x14ac:dyDescent="0.35">
      <c r="A8" s="19">
        <v>43994</v>
      </c>
      <c r="B8" t="s">
        <v>616</v>
      </c>
      <c r="C8">
        <v>1</v>
      </c>
      <c r="D8">
        <v>0</v>
      </c>
      <c r="E8" s="1">
        <v>0</v>
      </c>
      <c r="F8" s="1">
        <v>122</v>
      </c>
      <c r="G8" s="1">
        <v>160.05000000000001</v>
      </c>
      <c r="H8" s="1">
        <v>165</v>
      </c>
      <c r="I8" s="1">
        <v>5.6857232114964216</v>
      </c>
      <c r="J8" s="1">
        <v>0</v>
      </c>
      <c r="K8" s="1">
        <v>0</v>
      </c>
      <c r="L8" s="1">
        <v>25.121130271790062</v>
      </c>
      <c r="M8" s="1">
        <v>0</v>
      </c>
      <c r="N8">
        <v>25</v>
      </c>
    </row>
    <row r="9" spans="1:16" x14ac:dyDescent="0.35">
      <c r="A9" s="19">
        <v>43994</v>
      </c>
      <c r="B9" t="s">
        <v>41</v>
      </c>
      <c r="C9">
        <v>1</v>
      </c>
      <c r="D9">
        <v>3</v>
      </c>
      <c r="E9" s="1">
        <v>929.75</v>
      </c>
      <c r="F9" s="1">
        <v>936</v>
      </c>
      <c r="G9" s="1">
        <v>982.75</v>
      </c>
      <c r="H9" s="1">
        <v>1095</v>
      </c>
      <c r="I9" s="1">
        <v>1.4398371915543096</v>
      </c>
      <c r="J9" s="1">
        <v>159</v>
      </c>
      <c r="K9" s="1">
        <v>5.7004571121269159</v>
      </c>
      <c r="L9" s="1">
        <v>4.0912102772831336</v>
      </c>
      <c r="M9" s="1">
        <v>0.67222371605270237</v>
      </c>
      <c r="N9">
        <v>4</v>
      </c>
    </row>
    <row r="10" spans="1:16" x14ac:dyDescent="0.35">
      <c r="A10" s="19">
        <v>43994</v>
      </c>
      <c r="B10" t="s">
        <v>45</v>
      </c>
      <c r="C10">
        <v>1</v>
      </c>
      <c r="D10">
        <v>18</v>
      </c>
      <c r="E10" s="1">
        <v>344.43333333333334</v>
      </c>
      <c r="F10" s="1">
        <v>320</v>
      </c>
      <c r="G10" s="1">
        <v>344.2</v>
      </c>
      <c r="H10" s="1">
        <v>370</v>
      </c>
      <c r="I10" s="1">
        <v>0.85705984892504028</v>
      </c>
      <c r="J10" s="1">
        <v>-4.2000000000007276</v>
      </c>
      <c r="K10" s="1">
        <v>-6.7744120778094011E-2</v>
      </c>
      <c r="L10" s="1">
        <v>11.681106624055781</v>
      </c>
      <c r="M10" s="1">
        <v>-7.093777218619957</v>
      </c>
      <c r="N10">
        <v>12</v>
      </c>
    </row>
    <row r="11" spans="1:16" x14ac:dyDescent="0.35">
      <c r="A11" s="19">
        <v>43994</v>
      </c>
      <c r="B11" t="s">
        <v>1607</v>
      </c>
      <c r="C11">
        <v>1</v>
      </c>
      <c r="D11">
        <v>0</v>
      </c>
      <c r="E11" s="1">
        <v>0</v>
      </c>
      <c r="F11" s="1">
        <v>1233</v>
      </c>
      <c r="G11" s="1">
        <v>1279.8</v>
      </c>
      <c r="H11" s="1">
        <v>1384</v>
      </c>
      <c r="I11" s="1">
        <v>-1.4767932489451547</v>
      </c>
      <c r="J11" s="1">
        <v>0</v>
      </c>
      <c r="K11" s="1">
        <v>0</v>
      </c>
      <c r="L11" s="1">
        <v>3.1416134552273789</v>
      </c>
      <c r="M11" s="1">
        <v>0</v>
      </c>
      <c r="N11">
        <v>3</v>
      </c>
    </row>
    <row r="12" spans="1:16" x14ac:dyDescent="0.35">
      <c r="A12" s="19">
        <v>43994</v>
      </c>
      <c r="B12" t="s">
        <v>1721</v>
      </c>
      <c r="C12">
        <v>1</v>
      </c>
      <c r="D12">
        <v>0</v>
      </c>
      <c r="E12" s="1">
        <v>0</v>
      </c>
      <c r="F12" s="1">
        <v>140</v>
      </c>
      <c r="G12" s="1">
        <v>163.6</v>
      </c>
      <c r="H12" s="1">
        <v>182</v>
      </c>
      <c r="I12" s="1">
        <v>4.0953545232273774</v>
      </c>
      <c r="J12" s="1">
        <v>0</v>
      </c>
      <c r="K12" s="1">
        <v>0</v>
      </c>
      <c r="L12" s="1">
        <v>24.576020171149143</v>
      </c>
      <c r="M12" s="1">
        <v>0</v>
      </c>
      <c r="N12">
        <v>25</v>
      </c>
      <c r="O12" t="s">
        <v>4123</v>
      </c>
      <c r="P12" t="s">
        <v>4122</v>
      </c>
    </row>
    <row r="13" spans="1:16" x14ac:dyDescent="0.35">
      <c r="A13" s="19">
        <v>43994</v>
      </c>
      <c r="B13" t="s">
        <v>31</v>
      </c>
      <c r="C13">
        <v>2</v>
      </c>
      <c r="D13">
        <v>3</v>
      </c>
      <c r="E13" s="1">
        <v>1421.15</v>
      </c>
      <c r="F13" s="1">
        <v>1320</v>
      </c>
      <c r="G13" s="1">
        <v>1366.35</v>
      </c>
      <c r="H13" s="1">
        <v>1430</v>
      </c>
      <c r="I13" s="1">
        <v>1.9284956270355262</v>
      </c>
      <c r="J13" s="1">
        <v>-164.40000000000146</v>
      </c>
      <c r="K13" s="1">
        <v>-3.856032086690369</v>
      </c>
      <c r="L13" s="1">
        <v>2.9426112635854649</v>
      </c>
      <c r="M13" s="1">
        <v>-7.1174752841009106</v>
      </c>
      <c r="N13">
        <v>3</v>
      </c>
    </row>
    <row r="14" spans="1:16" x14ac:dyDescent="0.35">
      <c r="A14" s="19">
        <v>43994</v>
      </c>
      <c r="B14" t="s">
        <v>59</v>
      </c>
      <c r="C14">
        <v>2</v>
      </c>
      <c r="D14">
        <v>4</v>
      </c>
      <c r="E14" s="1">
        <v>573.20000000000005</v>
      </c>
      <c r="F14" s="1">
        <v>534</v>
      </c>
      <c r="G14" s="1">
        <v>553.65</v>
      </c>
      <c r="H14" s="1">
        <v>582</v>
      </c>
      <c r="I14" s="1">
        <v>-0.37027002618984345</v>
      </c>
      <c r="J14" s="1">
        <v>-78.200000000000273</v>
      </c>
      <c r="K14" s="1">
        <v>-3.4106769016050356</v>
      </c>
      <c r="L14" s="1">
        <v>7.2620552695746401</v>
      </c>
      <c r="M14" s="1">
        <v>-6.8387997208653255</v>
      </c>
      <c r="N14">
        <v>7</v>
      </c>
    </row>
    <row r="15" spans="1:16" x14ac:dyDescent="0.35">
      <c r="A15" s="19">
        <v>43994</v>
      </c>
      <c r="B15" t="s">
        <v>43</v>
      </c>
      <c r="C15">
        <v>2</v>
      </c>
      <c r="D15">
        <v>0</v>
      </c>
      <c r="E15" s="1">
        <v>0</v>
      </c>
      <c r="F15" s="1">
        <v>1970</v>
      </c>
      <c r="G15" s="1">
        <v>2107.25</v>
      </c>
      <c r="H15" s="1">
        <v>2145</v>
      </c>
      <c r="I15" s="1">
        <v>1.6609324949574518E-2</v>
      </c>
      <c r="J15" s="1">
        <v>0</v>
      </c>
      <c r="K15" s="1">
        <v>0</v>
      </c>
      <c r="L15" s="1">
        <v>1.9080018507533514</v>
      </c>
      <c r="M15" s="1">
        <v>0</v>
      </c>
      <c r="N15">
        <v>2</v>
      </c>
    </row>
    <row r="16" spans="1:16" x14ac:dyDescent="0.35">
      <c r="A16" s="19">
        <v>43994</v>
      </c>
      <c r="B16" t="s">
        <v>48</v>
      </c>
      <c r="C16">
        <v>2</v>
      </c>
      <c r="D16">
        <v>22</v>
      </c>
      <c r="E16" s="1">
        <v>195.1409090909091</v>
      </c>
      <c r="F16" s="1">
        <v>185</v>
      </c>
      <c r="G16" s="1">
        <v>193.9</v>
      </c>
      <c r="H16" s="1">
        <v>210</v>
      </c>
      <c r="I16" s="1">
        <v>-0.18050541516245194</v>
      </c>
      <c r="J16" s="1">
        <v>-27.300000000000182</v>
      </c>
      <c r="K16" s="1">
        <v>-0.63590412522420114</v>
      </c>
      <c r="L16" s="1">
        <v>20.735620938628156</v>
      </c>
      <c r="M16" s="1">
        <v>-5.1967110013743056</v>
      </c>
      <c r="N16">
        <v>21</v>
      </c>
    </row>
    <row r="17" spans="1:16" x14ac:dyDescent="0.35">
      <c r="A17" s="19">
        <v>43994</v>
      </c>
      <c r="B17" t="s">
        <v>50</v>
      </c>
      <c r="C17">
        <v>2</v>
      </c>
      <c r="D17">
        <v>14</v>
      </c>
      <c r="E17" s="1">
        <v>323.20714285714286</v>
      </c>
      <c r="F17" s="1">
        <v>314</v>
      </c>
      <c r="G17" s="1">
        <v>332.8</v>
      </c>
      <c r="H17" s="1">
        <v>350</v>
      </c>
      <c r="I17" s="1">
        <v>0.64603365384616407</v>
      </c>
      <c r="J17" s="1">
        <v>134.30000000000018</v>
      </c>
      <c r="K17" s="1">
        <v>2.9680213927379651</v>
      </c>
      <c r="L17" s="1">
        <v>12.081240685096152</v>
      </c>
      <c r="M17" s="1">
        <v>-2.8486817388229566</v>
      </c>
      <c r="N17">
        <v>12</v>
      </c>
    </row>
    <row r="18" spans="1:16" x14ac:dyDescent="0.35">
      <c r="A18" s="19">
        <v>43994</v>
      </c>
      <c r="B18" t="s">
        <v>47</v>
      </c>
      <c r="C18">
        <v>2</v>
      </c>
      <c r="D18">
        <v>2</v>
      </c>
      <c r="E18" s="1">
        <v>675.1</v>
      </c>
      <c r="F18" s="1">
        <v>674</v>
      </c>
      <c r="G18" s="1">
        <v>692.05</v>
      </c>
      <c r="H18" s="1">
        <v>751</v>
      </c>
      <c r="I18" s="1">
        <v>-1.7195289357705499</v>
      </c>
      <c r="J18" s="1">
        <v>33.899999999999864</v>
      </c>
      <c r="K18" s="1">
        <v>2.5107391497555818</v>
      </c>
      <c r="L18" s="1">
        <v>5.8097491510728991</v>
      </c>
      <c r="M18" s="1">
        <v>-0.16293882387794736</v>
      </c>
      <c r="N18">
        <v>6</v>
      </c>
    </row>
    <row r="19" spans="1:16" x14ac:dyDescent="0.35">
      <c r="A19" s="19">
        <v>43994</v>
      </c>
      <c r="B19" t="s">
        <v>2779</v>
      </c>
      <c r="C19">
        <v>2</v>
      </c>
      <c r="D19">
        <v>0</v>
      </c>
      <c r="E19" s="1">
        <v>0</v>
      </c>
      <c r="F19" s="1">
        <v>1984</v>
      </c>
      <c r="G19" s="1">
        <v>2039.5</v>
      </c>
      <c r="H19" s="1">
        <v>2115</v>
      </c>
      <c r="I19" s="1">
        <v>-1.3802402549644566</v>
      </c>
      <c r="J19" s="1">
        <v>0</v>
      </c>
      <c r="K19" s="1">
        <v>0</v>
      </c>
      <c r="L19" s="1">
        <v>1.9713836234371167</v>
      </c>
      <c r="M19" s="1">
        <v>0</v>
      </c>
      <c r="N19">
        <v>2</v>
      </c>
    </row>
    <row r="20" spans="1:16" x14ac:dyDescent="0.35">
      <c r="A20" s="19">
        <v>43994</v>
      </c>
      <c r="B20" t="s">
        <v>3074</v>
      </c>
      <c r="C20">
        <v>2</v>
      </c>
      <c r="D20">
        <v>0</v>
      </c>
      <c r="E20" s="1">
        <v>0</v>
      </c>
      <c r="F20" s="1">
        <v>176</v>
      </c>
      <c r="G20" s="1">
        <v>207.9</v>
      </c>
      <c r="H20" s="1">
        <v>232</v>
      </c>
      <c r="I20" s="1">
        <v>-2.405002405002405</v>
      </c>
      <c r="J20" s="1">
        <v>0</v>
      </c>
      <c r="K20" s="1">
        <v>0</v>
      </c>
      <c r="L20" s="1">
        <v>19.339282828282826</v>
      </c>
      <c r="M20" s="1">
        <v>0</v>
      </c>
      <c r="N20">
        <v>19</v>
      </c>
    </row>
    <row r="21" spans="1:16" x14ac:dyDescent="0.35">
      <c r="A21" s="19">
        <v>43994</v>
      </c>
      <c r="B21" t="s">
        <v>2268</v>
      </c>
      <c r="C21">
        <v>2</v>
      </c>
      <c r="D21">
        <v>0</v>
      </c>
      <c r="E21" s="1">
        <v>0</v>
      </c>
      <c r="F21" s="1">
        <v>966</v>
      </c>
      <c r="G21" s="1">
        <v>1029.8499999999999</v>
      </c>
      <c r="H21" s="1">
        <v>1247</v>
      </c>
      <c r="I21" s="1">
        <v>-2.4469582948973199</v>
      </c>
      <c r="J21" s="1">
        <v>0</v>
      </c>
      <c r="K21" s="1">
        <v>0</v>
      </c>
      <c r="L21" s="1">
        <v>3.9040995290576297</v>
      </c>
      <c r="M21" s="1">
        <v>0</v>
      </c>
      <c r="N21">
        <v>4</v>
      </c>
      <c r="O21" t="s">
        <v>4120</v>
      </c>
    </row>
    <row r="22" spans="1:16" x14ac:dyDescent="0.35">
      <c r="A22" s="19">
        <v>43994</v>
      </c>
      <c r="B22" t="s">
        <v>1399</v>
      </c>
      <c r="C22">
        <v>2</v>
      </c>
      <c r="D22">
        <v>0</v>
      </c>
      <c r="E22" s="1">
        <v>0</v>
      </c>
      <c r="F22" s="1">
        <v>74</v>
      </c>
      <c r="G22" s="1">
        <v>88.3</v>
      </c>
      <c r="H22" s="1">
        <v>93</v>
      </c>
      <c r="I22" s="1">
        <v>-5.6625141562850693E-2</v>
      </c>
      <c r="J22" s="1">
        <v>0</v>
      </c>
      <c r="K22" s="1">
        <v>0</v>
      </c>
      <c r="L22" s="1">
        <v>45.533826727066817</v>
      </c>
      <c r="M22" s="1">
        <v>0</v>
      </c>
      <c r="N22">
        <v>46</v>
      </c>
      <c r="P22" t="s">
        <v>4125</v>
      </c>
    </row>
    <row r="23" spans="1:16" x14ac:dyDescent="0.35">
      <c r="A23" s="19">
        <v>43994</v>
      </c>
      <c r="B23" t="s">
        <v>1190</v>
      </c>
      <c r="C23">
        <v>3</v>
      </c>
      <c r="D23">
        <v>0</v>
      </c>
      <c r="E23" s="1">
        <v>0</v>
      </c>
      <c r="G23" s="1">
        <v>146.05000000000001</v>
      </c>
      <c r="I23" s="1">
        <v>1.1297500855871314</v>
      </c>
      <c r="J23" s="1">
        <v>0</v>
      </c>
      <c r="K23" s="1">
        <v>0</v>
      </c>
      <c r="L23" s="1">
        <v>27.529181102362198</v>
      </c>
      <c r="M23" s="1">
        <v>0</v>
      </c>
      <c r="N23">
        <v>28</v>
      </c>
    </row>
    <row r="24" spans="1:16" x14ac:dyDescent="0.35">
      <c r="A24" s="19">
        <v>43994</v>
      </c>
      <c r="B24" t="s">
        <v>44</v>
      </c>
      <c r="C24">
        <v>3</v>
      </c>
      <c r="D24">
        <v>20</v>
      </c>
      <c r="E24" s="1">
        <v>176.67500000000001</v>
      </c>
      <c r="F24" s="1">
        <v>163</v>
      </c>
      <c r="G24" s="1">
        <v>174.65</v>
      </c>
      <c r="H24" s="1">
        <v>177</v>
      </c>
      <c r="I24" s="1">
        <v>1.1451474377326081</v>
      </c>
      <c r="J24" s="1">
        <v>-40.5</v>
      </c>
      <c r="K24" s="1">
        <v>-1.1461723503608352</v>
      </c>
      <c r="L24" s="1">
        <v>23.021110220440878</v>
      </c>
      <c r="M24" s="1">
        <v>-7.7402009339182172</v>
      </c>
      <c r="N24">
        <v>23</v>
      </c>
    </row>
    <row r="25" spans="1:16" x14ac:dyDescent="0.35">
      <c r="A25" s="19">
        <v>43994</v>
      </c>
      <c r="B25" t="s">
        <v>49</v>
      </c>
      <c r="C25">
        <v>3</v>
      </c>
      <c r="D25">
        <v>10</v>
      </c>
      <c r="E25" s="1">
        <v>145.1</v>
      </c>
      <c r="F25" s="1">
        <v>126</v>
      </c>
      <c r="G25" s="1">
        <v>141.65</v>
      </c>
      <c r="H25" s="1">
        <v>151</v>
      </c>
      <c r="I25" s="1">
        <v>0.45887751500176888</v>
      </c>
      <c r="J25" s="1">
        <v>-34.5</v>
      </c>
      <c r="K25" s="1">
        <v>-2.3776705720192894</v>
      </c>
      <c r="L25" s="1">
        <v>28.384305683021527</v>
      </c>
      <c r="M25" s="1">
        <v>-13.163335630599581</v>
      </c>
      <c r="N25">
        <v>28</v>
      </c>
    </row>
    <row r="26" spans="1:16" x14ac:dyDescent="0.35">
      <c r="A26" s="19">
        <v>43994</v>
      </c>
      <c r="B26" t="s">
        <v>1509</v>
      </c>
      <c r="C26">
        <v>3</v>
      </c>
      <c r="D26">
        <v>0</v>
      </c>
      <c r="E26" s="1">
        <v>0</v>
      </c>
      <c r="G26" s="1">
        <v>188.95</v>
      </c>
      <c r="I26" s="1">
        <v>2.2757343212489989</v>
      </c>
      <c r="J26" s="1">
        <v>0</v>
      </c>
      <c r="K26" s="1">
        <v>0</v>
      </c>
      <c r="L26" s="1">
        <v>21.278840433977241</v>
      </c>
      <c r="M26" s="1">
        <v>0</v>
      </c>
      <c r="N26">
        <v>21</v>
      </c>
    </row>
    <row r="27" spans="1:16" x14ac:dyDescent="0.35">
      <c r="A27" s="19">
        <v>43994</v>
      </c>
      <c r="B27" t="s">
        <v>58</v>
      </c>
      <c r="C27">
        <v>3</v>
      </c>
      <c r="D27">
        <v>10</v>
      </c>
      <c r="E27" s="1">
        <v>335.05</v>
      </c>
      <c r="F27" s="1">
        <v>299</v>
      </c>
      <c r="G27" s="1">
        <v>317.60000000000002</v>
      </c>
      <c r="H27" s="1">
        <v>352</v>
      </c>
      <c r="I27" s="1">
        <v>1.4011335012594601</v>
      </c>
      <c r="J27" s="1">
        <v>-174.5</v>
      </c>
      <c r="K27" s="1">
        <v>-5.208177883897922</v>
      </c>
      <c r="L27" s="1">
        <v>12.659436083123424</v>
      </c>
      <c r="M27" s="1">
        <v>-10.759588121175948</v>
      </c>
      <c r="N27">
        <v>13</v>
      </c>
      <c r="P27" t="s">
        <v>4126</v>
      </c>
    </row>
    <row r="28" spans="1:16" x14ac:dyDescent="0.35">
      <c r="A28" s="19">
        <v>43994</v>
      </c>
      <c r="B28" t="s">
        <v>16</v>
      </c>
      <c r="C28">
        <v>3</v>
      </c>
      <c r="D28">
        <v>20</v>
      </c>
      <c r="E28" s="1">
        <v>132.25769230769231</v>
      </c>
      <c r="F28" s="1">
        <v>128</v>
      </c>
      <c r="G28" s="1">
        <v>132.44999999999999</v>
      </c>
      <c r="H28" s="1">
        <v>163</v>
      </c>
      <c r="I28" s="1">
        <v>-1.1702529256323229</v>
      </c>
      <c r="J28" s="1">
        <v>3.8461538461538112</v>
      </c>
      <c r="K28" s="1">
        <v>0.14540378631458573</v>
      </c>
      <c r="L28" s="1">
        <v>30.355884484711211</v>
      </c>
      <c r="M28" s="1">
        <v>-3.2192398290051485</v>
      </c>
      <c r="N28">
        <v>30</v>
      </c>
    </row>
    <row r="29" spans="1:16" x14ac:dyDescent="0.35">
      <c r="A29" s="19">
        <v>43994</v>
      </c>
      <c r="B29" t="s">
        <v>2332</v>
      </c>
      <c r="C29">
        <v>3</v>
      </c>
      <c r="D29">
        <v>0</v>
      </c>
      <c r="E29" s="1">
        <v>0</v>
      </c>
      <c r="G29" s="1">
        <v>1588.8</v>
      </c>
      <c r="I29" s="1">
        <v>3.2162638469284937</v>
      </c>
      <c r="J29" s="1">
        <v>0</v>
      </c>
      <c r="K29" s="1">
        <v>0</v>
      </c>
      <c r="L29" s="1">
        <v>2.530612348942598</v>
      </c>
      <c r="M29" s="1">
        <v>0</v>
      </c>
      <c r="N29">
        <v>3</v>
      </c>
      <c r="O29" t="s">
        <v>4123</v>
      </c>
    </row>
    <row r="30" spans="1:16" x14ac:dyDescent="0.35">
      <c r="A30" s="19">
        <v>43994</v>
      </c>
      <c r="B30" t="s">
        <v>630</v>
      </c>
      <c r="C30">
        <v>3</v>
      </c>
      <c r="D30">
        <v>0</v>
      </c>
      <c r="E30" s="1">
        <v>0</v>
      </c>
      <c r="G30" s="1">
        <v>643.6</v>
      </c>
      <c r="I30" s="1">
        <v>1.3362336855189594</v>
      </c>
      <c r="J30" s="1">
        <v>0</v>
      </c>
      <c r="K30" s="1">
        <v>0</v>
      </c>
      <c r="L30" s="1">
        <v>6.2471051895587308</v>
      </c>
      <c r="M30" s="1">
        <v>0</v>
      </c>
      <c r="N30">
        <v>6</v>
      </c>
    </row>
    <row r="31" spans="1:16" x14ac:dyDescent="0.35">
      <c r="A31" s="19">
        <v>43994</v>
      </c>
      <c r="B31" t="s">
        <v>37</v>
      </c>
      <c r="C31">
        <v>3</v>
      </c>
      <c r="D31">
        <v>1</v>
      </c>
      <c r="E31" s="1">
        <v>2390</v>
      </c>
      <c r="F31" s="1">
        <v>2260</v>
      </c>
      <c r="G31" s="1">
        <v>2395.1</v>
      </c>
      <c r="H31" s="1">
        <v>2461</v>
      </c>
      <c r="I31" s="1">
        <v>1.6199741138156958</v>
      </c>
      <c r="J31" s="1">
        <v>5.0999999999999091</v>
      </c>
      <c r="K31" s="1">
        <v>0.21338912133890836</v>
      </c>
      <c r="L31" s="1">
        <v>1.6786927059412966</v>
      </c>
      <c r="M31" s="1">
        <v>-5.439330543933055</v>
      </c>
      <c r="N31">
        <v>2</v>
      </c>
      <c r="P31" t="s">
        <v>4128</v>
      </c>
    </row>
    <row r="32" spans="1:16" x14ac:dyDescent="0.35">
      <c r="A32" s="19">
        <v>43994</v>
      </c>
      <c r="B32" t="s">
        <v>788</v>
      </c>
      <c r="C32">
        <v>3</v>
      </c>
      <c r="D32">
        <v>0</v>
      </c>
      <c r="E32" s="1">
        <v>0</v>
      </c>
      <c r="G32" s="1">
        <v>4007.95</v>
      </c>
      <c r="I32" s="1">
        <v>-1.2387879090308036</v>
      </c>
      <c r="J32" s="1">
        <v>0</v>
      </c>
      <c r="K32" s="1">
        <v>0</v>
      </c>
      <c r="L32" s="1">
        <v>1.0031654337005202</v>
      </c>
      <c r="M32" s="1">
        <v>0</v>
      </c>
      <c r="N32">
        <v>1</v>
      </c>
    </row>
    <row r="33" spans="1:16" x14ac:dyDescent="0.35">
      <c r="A33" s="19">
        <v>43994</v>
      </c>
      <c r="B33" t="s">
        <v>57</v>
      </c>
      <c r="C33">
        <v>3</v>
      </c>
      <c r="D33">
        <v>10</v>
      </c>
      <c r="E33" s="1">
        <v>495.1</v>
      </c>
      <c r="F33" s="1">
        <v>468</v>
      </c>
      <c r="G33" s="1">
        <v>480.1</v>
      </c>
      <c r="H33" s="1">
        <v>506</v>
      </c>
      <c r="I33" s="1">
        <v>1.3434701103936775</v>
      </c>
      <c r="J33" s="1">
        <v>-150</v>
      </c>
      <c r="K33" s="1">
        <v>-3.0296909715209051</v>
      </c>
      <c r="L33" s="1">
        <v>8.3745821703811689</v>
      </c>
      <c r="M33" s="1">
        <v>-5.4736416885477723</v>
      </c>
      <c r="N33">
        <v>8</v>
      </c>
      <c r="P33" t="s">
        <v>4129</v>
      </c>
    </row>
    <row r="34" spans="1:16" x14ac:dyDescent="0.35">
      <c r="A34" s="19">
        <v>43994</v>
      </c>
      <c r="B34" t="s">
        <v>768</v>
      </c>
      <c r="C34">
        <v>3</v>
      </c>
      <c r="D34">
        <v>0</v>
      </c>
      <c r="E34" s="1">
        <v>0</v>
      </c>
      <c r="G34" s="1">
        <v>154.05000000000001</v>
      </c>
      <c r="I34" s="1">
        <v>2.1421616358325291</v>
      </c>
      <c r="J34" s="1">
        <v>0</v>
      </c>
      <c r="K34" s="1">
        <v>0</v>
      </c>
      <c r="L34" s="1">
        <v>26.099557935735145</v>
      </c>
      <c r="M34" s="1">
        <v>0</v>
      </c>
      <c r="N34">
        <v>26</v>
      </c>
    </row>
    <row r="35" spans="1:16" x14ac:dyDescent="0.35">
      <c r="A35" s="19">
        <v>43994</v>
      </c>
      <c r="B35" t="s">
        <v>1041</v>
      </c>
      <c r="C35">
        <v>3</v>
      </c>
      <c r="D35">
        <v>0</v>
      </c>
      <c r="E35" s="1">
        <v>0</v>
      </c>
      <c r="G35" s="1">
        <v>835.85</v>
      </c>
      <c r="I35" s="1">
        <v>2.1235867679607585</v>
      </c>
      <c r="J35" s="1">
        <v>0</v>
      </c>
      <c r="K35" s="1">
        <v>0</v>
      </c>
      <c r="L35" s="1">
        <v>4.810237363163246</v>
      </c>
      <c r="M35" s="1">
        <v>0</v>
      </c>
      <c r="N35">
        <v>5</v>
      </c>
    </row>
    <row r="36" spans="1:16" x14ac:dyDescent="0.35">
      <c r="A36" s="19">
        <v>43994</v>
      </c>
      <c r="B36" t="s">
        <v>54</v>
      </c>
      <c r="C36">
        <v>3</v>
      </c>
      <c r="D36">
        <v>10</v>
      </c>
      <c r="E36" s="1">
        <v>335.1</v>
      </c>
      <c r="F36" s="1">
        <v>360</v>
      </c>
      <c r="G36" s="1">
        <v>371.2</v>
      </c>
      <c r="H36" s="1">
        <v>394</v>
      </c>
      <c r="I36" s="1">
        <v>-1.1314655172413763</v>
      </c>
      <c r="J36" s="1">
        <v>361</v>
      </c>
      <c r="K36" s="1">
        <v>10.772903610862418</v>
      </c>
      <c r="L36" s="1">
        <v>10.831457165948274</v>
      </c>
      <c r="M36" s="1">
        <v>7.4306177260519179</v>
      </c>
      <c r="N36">
        <v>11</v>
      </c>
      <c r="P36" t="s">
        <v>4120</v>
      </c>
    </row>
    <row r="37" spans="1:16" x14ac:dyDescent="0.35">
      <c r="A37" s="19">
        <v>43994</v>
      </c>
      <c r="B37" t="s">
        <v>2167</v>
      </c>
      <c r="C37">
        <v>3</v>
      </c>
      <c r="D37">
        <v>0</v>
      </c>
      <c r="E37" s="1">
        <v>0</v>
      </c>
      <c r="G37" s="1">
        <v>599.85</v>
      </c>
      <c r="I37" s="1">
        <v>-1.5087105109610659</v>
      </c>
      <c r="J37" s="1">
        <v>0</v>
      </c>
      <c r="K37" s="1">
        <v>0</v>
      </c>
      <c r="L37" s="1">
        <v>6.7027371842960726</v>
      </c>
      <c r="M37" s="1">
        <v>0</v>
      </c>
      <c r="N37">
        <v>7</v>
      </c>
    </row>
    <row r="38" spans="1:16" x14ac:dyDescent="0.35">
      <c r="A38" s="19">
        <v>43994</v>
      </c>
      <c r="B38" t="s">
        <v>35</v>
      </c>
      <c r="C38">
        <v>4</v>
      </c>
      <c r="D38">
        <v>0</v>
      </c>
      <c r="E38" s="1">
        <v>0</v>
      </c>
      <c r="G38" s="1">
        <v>501.65</v>
      </c>
      <c r="I38" s="1">
        <v>2.4818100269111909</v>
      </c>
      <c r="J38" s="1">
        <v>0</v>
      </c>
      <c r="K38" s="1">
        <v>0</v>
      </c>
      <c r="L38" s="1">
        <v>8.0148248779029192</v>
      </c>
      <c r="M38" s="1">
        <v>0</v>
      </c>
      <c r="N38">
        <v>8</v>
      </c>
      <c r="O38" t="s">
        <v>4123</v>
      </c>
    </row>
    <row r="39" spans="1:16" x14ac:dyDescent="0.35">
      <c r="A39" s="19">
        <v>43994</v>
      </c>
      <c r="B39" t="s">
        <v>36</v>
      </c>
      <c r="C39">
        <v>4</v>
      </c>
      <c r="D39">
        <v>1</v>
      </c>
      <c r="E39" s="1">
        <v>70.55</v>
      </c>
      <c r="F39" s="1">
        <v>67</v>
      </c>
      <c r="G39" s="1">
        <v>86.65</v>
      </c>
      <c r="H39" s="1">
        <v>100</v>
      </c>
      <c r="I39" s="1">
        <v>-3.9238315060588476</v>
      </c>
      <c r="J39" s="1">
        <v>16.100000000000009</v>
      </c>
      <c r="K39" s="1">
        <v>22.820694542877405</v>
      </c>
      <c r="L39" s="1">
        <v>46.400887478361213</v>
      </c>
      <c r="M39" s="1">
        <v>-5.0318922749822779</v>
      </c>
      <c r="N39">
        <v>46</v>
      </c>
      <c r="P39" t="s">
        <v>4124</v>
      </c>
    </row>
    <row r="40" spans="1:16" x14ac:dyDescent="0.35">
      <c r="A40" s="19">
        <v>43994</v>
      </c>
      <c r="B40" t="s">
        <v>39</v>
      </c>
      <c r="C40">
        <v>4</v>
      </c>
      <c r="D40">
        <v>67</v>
      </c>
      <c r="E40" s="1">
        <v>65.425373134328353</v>
      </c>
      <c r="F40" s="1">
        <v>66</v>
      </c>
      <c r="G40" s="1">
        <v>69.650000000000006</v>
      </c>
      <c r="H40" s="1">
        <v>74</v>
      </c>
      <c r="I40" s="1">
        <v>1.1486001435750341</v>
      </c>
      <c r="J40" s="1">
        <v>283.05000000000018</v>
      </c>
      <c r="K40" s="1">
        <v>6.4571689289380796</v>
      </c>
      <c r="L40" s="1">
        <v>57.726301507537677</v>
      </c>
      <c r="M40" s="1">
        <v>0.87829360100377174</v>
      </c>
      <c r="N40">
        <v>58</v>
      </c>
      <c r="P40" t="s">
        <v>4130</v>
      </c>
    </row>
    <row r="41" spans="1:16" x14ac:dyDescent="0.35">
      <c r="A41" s="19">
        <v>43994</v>
      </c>
      <c r="B41" t="s">
        <v>40</v>
      </c>
      <c r="C41">
        <v>4</v>
      </c>
      <c r="D41">
        <v>0</v>
      </c>
      <c r="E41" s="1">
        <v>0</v>
      </c>
      <c r="G41" s="1">
        <v>77.45</v>
      </c>
      <c r="I41" s="1">
        <v>-1.0974822466107093</v>
      </c>
      <c r="J41" s="1">
        <v>0</v>
      </c>
      <c r="K41" s="1">
        <v>0</v>
      </c>
      <c r="L41" s="1">
        <v>51.912677856681725</v>
      </c>
      <c r="M41" s="1">
        <v>0</v>
      </c>
      <c r="N41">
        <v>52</v>
      </c>
    </row>
    <row r="42" spans="1:16" x14ac:dyDescent="0.35">
      <c r="A42" s="19">
        <v>43994</v>
      </c>
      <c r="B42" t="s">
        <v>53</v>
      </c>
      <c r="C42">
        <v>4</v>
      </c>
      <c r="D42">
        <v>100</v>
      </c>
      <c r="E42" s="1">
        <v>92.19</v>
      </c>
      <c r="F42" s="1">
        <v>103</v>
      </c>
      <c r="G42" s="1">
        <v>105.72</v>
      </c>
      <c r="H42" s="1">
        <v>108</v>
      </c>
      <c r="I42" s="1">
        <v>0.39727582292849201</v>
      </c>
      <c r="J42" s="1">
        <v>1353</v>
      </c>
      <c r="K42" s="1">
        <v>14.676212170517411</v>
      </c>
      <c r="L42" s="1">
        <v>26.890944948921668</v>
      </c>
      <c r="M42" s="1">
        <v>11.725783707560476</v>
      </c>
      <c r="N42">
        <v>38</v>
      </c>
      <c r="O42" t="s">
        <v>4131</v>
      </c>
    </row>
    <row r="43" spans="1:16" x14ac:dyDescent="0.35">
      <c r="A43" s="19">
        <v>43994</v>
      </c>
      <c r="B43" t="s">
        <v>46</v>
      </c>
      <c r="C43">
        <v>4</v>
      </c>
      <c r="D43">
        <v>50</v>
      </c>
      <c r="E43" s="1">
        <v>94.65</v>
      </c>
      <c r="F43" s="1">
        <v>102</v>
      </c>
      <c r="G43" s="1">
        <v>105.05</v>
      </c>
      <c r="H43" s="1">
        <v>111</v>
      </c>
      <c r="I43" s="1">
        <v>0.47596382674916704</v>
      </c>
      <c r="J43" s="1">
        <v>520</v>
      </c>
      <c r="K43" s="1">
        <v>10.98784997358689</v>
      </c>
      <c r="L43" s="1">
        <v>38.273554497858157</v>
      </c>
      <c r="M43" s="1">
        <v>7.7654516640253499</v>
      </c>
      <c r="N43">
        <v>38</v>
      </c>
    </row>
    <row r="44" spans="1:16" x14ac:dyDescent="0.35">
      <c r="A44" s="19">
        <v>43994</v>
      </c>
      <c r="B44" t="s">
        <v>55</v>
      </c>
      <c r="C44">
        <v>4</v>
      </c>
      <c r="D44">
        <v>0</v>
      </c>
      <c r="E44" s="1">
        <v>0</v>
      </c>
      <c r="G44" s="1">
        <v>1430.05</v>
      </c>
      <c r="I44" s="1">
        <v>0.8915772175798049</v>
      </c>
      <c r="J44" s="1">
        <v>0</v>
      </c>
      <c r="K44" s="1">
        <v>0</v>
      </c>
      <c r="L44" s="1">
        <v>2.8115358903534839</v>
      </c>
      <c r="M44" s="1">
        <v>0</v>
      </c>
      <c r="N44">
        <v>3</v>
      </c>
    </row>
    <row r="45" spans="1:16" x14ac:dyDescent="0.35">
      <c r="A45" s="19">
        <v>43994</v>
      </c>
      <c r="B45" t="s">
        <v>290</v>
      </c>
      <c r="C45">
        <v>5</v>
      </c>
      <c r="D45">
        <v>0</v>
      </c>
      <c r="E45" s="1">
        <v>0</v>
      </c>
      <c r="G45" s="1">
        <v>34.65</v>
      </c>
      <c r="I45" s="1">
        <v>2.8860028860028861</v>
      </c>
      <c r="J45" s="1">
        <v>0</v>
      </c>
      <c r="K45" s="1">
        <v>0</v>
      </c>
      <c r="L45" s="1">
        <v>116.03569696969696</v>
      </c>
      <c r="M45" s="1">
        <v>0</v>
      </c>
      <c r="N45">
        <v>116</v>
      </c>
    </row>
  </sheetData>
  <sortState xmlns:xlrd2="http://schemas.microsoft.com/office/spreadsheetml/2017/richdata2" ref="A2:P47">
    <sortCondition ref="B2:B47"/>
    <sortCondition ref="A2:A47"/>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L8"/>
  <sheetViews>
    <sheetView workbookViewId="0">
      <selection activeCell="K2" sqref="K2"/>
    </sheetView>
  </sheetViews>
  <sheetFormatPr defaultRowHeight="14.5" x14ac:dyDescent="0.35"/>
  <cols>
    <col min="1" max="1" width="9.81640625" bestFit="1" customWidth="1"/>
    <col min="5" max="5" width="8.7265625" style="1"/>
    <col min="8" max="8" width="12.453125" style="1" bestFit="1" customWidth="1"/>
    <col min="9" max="9" width="6.81640625" style="1" bestFit="1" customWidth="1"/>
    <col min="10" max="10" width="11" style="1" bestFit="1" customWidth="1"/>
    <col min="11" max="11" width="8" style="1" customWidth="1"/>
    <col min="12" max="12" width="50.26953125" customWidth="1"/>
  </cols>
  <sheetData>
    <row r="1" spans="1:12" s="11" customFormat="1" ht="29" x14ac:dyDescent="0.35">
      <c r="A1" s="11" t="s">
        <v>63</v>
      </c>
      <c r="B1" s="11" t="s">
        <v>64</v>
      </c>
      <c r="C1" s="11" t="s">
        <v>65</v>
      </c>
      <c r="D1" s="11" t="s">
        <v>66</v>
      </c>
      <c r="E1" s="12" t="s">
        <v>67</v>
      </c>
      <c r="F1" s="11" t="s">
        <v>68</v>
      </c>
      <c r="G1" s="11" t="s">
        <v>69</v>
      </c>
      <c r="H1" s="11" t="s">
        <v>70</v>
      </c>
      <c r="I1" s="11" t="s">
        <v>71</v>
      </c>
      <c r="J1" s="11" t="s">
        <v>72</v>
      </c>
      <c r="K1" s="11" t="s">
        <v>3307</v>
      </c>
      <c r="L1" s="11" t="s">
        <v>73</v>
      </c>
    </row>
    <row r="2" spans="1:12" x14ac:dyDescent="0.35">
      <c r="A2" s="13">
        <v>43983</v>
      </c>
      <c r="B2">
        <v>84744.04</v>
      </c>
      <c r="C2" s="14">
        <v>0</v>
      </c>
      <c r="D2" s="14">
        <v>0</v>
      </c>
      <c r="E2" s="15">
        <v>-722.81</v>
      </c>
      <c r="F2" s="14">
        <v>134021.22999999998</v>
      </c>
      <c r="G2" s="14">
        <v>-0.85293313842483787</v>
      </c>
      <c r="H2" s="1">
        <v>-8976.9</v>
      </c>
      <c r="I2" s="1">
        <v>-10.592957333636678</v>
      </c>
      <c r="J2" s="1">
        <f>(F2/100)*9</f>
        <v>12061.910699999999</v>
      </c>
      <c r="K2" s="1">
        <f>(F2/100)*3</f>
        <v>4020.6368999999995</v>
      </c>
    </row>
    <row r="3" spans="1:12" x14ac:dyDescent="0.35">
      <c r="A3" s="13">
        <v>43983</v>
      </c>
      <c r="B3">
        <v>84744.04</v>
      </c>
      <c r="C3">
        <v>50000</v>
      </c>
      <c r="D3">
        <v>0</v>
      </c>
      <c r="E3" s="1">
        <v>-722.81</v>
      </c>
      <c r="F3">
        <f>(B3+C3-D3+E3)</f>
        <v>134021.22999999998</v>
      </c>
      <c r="G3" s="1">
        <f>(E3/B3)*100</f>
        <v>-0.85293313842483787</v>
      </c>
      <c r="H3" s="1">
        <v>-8976.9</v>
      </c>
      <c r="I3" s="1">
        <f>(H3/B3)*100</f>
        <v>-10.592957333636678</v>
      </c>
      <c r="J3" s="1">
        <f t="shared" ref="J3:J7" si="0">(F3/100)*9</f>
        <v>12061.910699999999</v>
      </c>
      <c r="K3" s="1">
        <f t="shared" ref="K3:K7" si="1">(F3/100)*3</f>
        <v>4020.6368999999995</v>
      </c>
    </row>
    <row r="4" spans="1:12" x14ac:dyDescent="0.35">
      <c r="A4" s="13">
        <v>43952</v>
      </c>
      <c r="B4">
        <v>65000</v>
      </c>
      <c r="C4">
        <v>20000</v>
      </c>
      <c r="D4">
        <v>0</v>
      </c>
      <c r="E4" s="1">
        <v>-255.96</v>
      </c>
      <c r="F4">
        <f>(B4+C4-D4+E4)</f>
        <v>84744.04</v>
      </c>
      <c r="G4" s="1">
        <f>(E4/B4)*100</f>
        <v>-0.3937846153846154</v>
      </c>
      <c r="H4" s="1">
        <v>-12192.3</v>
      </c>
      <c r="I4" s="1">
        <f>(H4/B4)*100</f>
        <v>-18.757384615384616</v>
      </c>
      <c r="J4" s="1">
        <f t="shared" si="0"/>
        <v>7626.9635999999991</v>
      </c>
      <c r="K4" s="1">
        <f t="shared" si="1"/>
        <v>2542.3211999999999</v>
      </c>
    </row>
    <row r="5" spans="1:12" x14ac:dyDescent="0.35">
      <c r="A5" s="13">
        <v>43941</v>
      </c>
      <c r="B5">
        <v>50000</v>
      </c>
      <c r="C5">
        <v>15000</v>
      </c>
      <c r="D5">
        <v>0</v>
      </c>
      <c r="E5" s="1">
        <v>0</v>
      </c>
      <c r="F5">
        <f>(B5+C5-D5+E5)</f>
        <v>65000</v>
      </c>
      <c r="G5" s="1">
        <f t="shared" ref="G5:G7" si="2">(E5/F5)*100</f>
        <v>0</v>
      </c>
      <c r="I5" s="1">
        <f t="shared" ref="I5:I6" si="3">(H5/F5)*100</f>
        <v>0</v>
      </c>
      <c r="J5" s="1">
        <f t="shared" si="0"/>
        <v>5850</v>
      </c>
      <c r="K5" s="1">
        <f t="shared" si="1"/>
        <v>1950</v>
      </c>
    </row>
    <row r="6" spans="1:12" x14ac:dyDescent="0.35">
      <c r="A6" s="13">
        <v>43933</v>
      </c>
      <c r="B6">
        <v>20000</v>
      </c>
      <c r="C6">
        <v>30000</v>
      </c>
      <c r="D6">
        <v>0</v>
      </c>
      <c r="E6" s="1">
        <v>0</v>
      </c>
      <c r="F6">
        <f>(B6+C6-D6+E6)</f>
        <v>50000</v>
      </c>
      <c r="G6" s="1">
        <f t="shared" si="2"/>
        <v>0</v>
      </c>
      <c r="I6" s="1">
        <f t="shared" si="3"/>
        <v>0</v>
      </c>
      <c r="J6" s="1">
        <f t="shared" si="0"/>
        <v>4500</v>
      </c>
      <c r="K6" s="1">
        <f t="shared" si="1"/>
        <v>1500</v>
      </c>
    </row>
    <row r="7" spans="1:12" x14ac:dyDescent="0.35">
      <c r="A7" s="13">
        <v>43891</v>
      </c>
      <c r="B7">
        <v>0</v>
      </c>
      <c r="C7">
        <v>20000</v>
      </c>
      <c r="D7">
        <v>0</v>
      </c>
      <c r="E7" s="1">
        <v>0</v>
      </c>
      <c r="F7">
        <f>(B7+C7-D7+E7)</f>
        <v>20000</v>
      </c>
      <c r="G7" s="1">
        <f t="shared" si="2"/>
        <v>0</v>
      </c>
      <c r="H7" s="1">
        <v>-15093</v>
      </c>
      <c r="J7" s="1">
        <f t="shared" si="0"/>
        <v>1800</v>
      </c>
      <c r="K7" s="1">
        <f t="shared" si="1"/>
        <v>600</v>
      </c>
    </row>
    <row r="8" spans="1:12" x14ac:dyDescent="0.35">
      <c r="A8" s="9"/>
      <c r="C8">
        <f>SUM(C3:C7)</f>
        <v>135000</v>
      </c>
      <c r="E8" s="1">
        <f>SUM(E3:E7)</f>
        <v>-978.77</v>
      </c>
      <c r="G8" s="1">
        <f>(E8/C8)*100</f>
        <v>-0.72501481481481478</v>
      </c>
    </row>
  </sheetData>
  <pageMargins left="0.7" right="0.7" top="0.75" bottom="0.75" header="0.3" footer="0.3"/>
  <pageSetup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C9"/>
  <sheetViews>
    <sheetView workbookViewId="0">
      <selection activeCell="C3" sqref="C3"/>
    </sheetView>
  </sheetViews>
  <sheetFormatPr defaultColWidth="8.7265625" defaultRowHeight="14.5" x14ac:dyDescent="0.35"/>
  <cols>
    <col min="1" max="1" width="8.7265625" style="22"/>
    <col min="2" max="2" width="26.81640625" style="22" customWidth="1"/>
    <col min="3" max="3" width="96.26953125" style="22" bestFit="1" customWidth="1"/>
    <col min="4" max="16384" width="8.7265625" style="22"/>
  </cols>
  <sheetData>
    <row r="1" spans="1:3" x14ac:dyDescent="0.35">
      <c r="A1" s="22" t="s">
        <v>3355</v>
      </c>
      <c r="B1" s="22" t="s">
        <v>3356</v>
      </c>
      <c r="C1" s="22" t="s">
        <v>3126</v>
      </c>
    </row>
    <row r="2" spans="1:3" ht="101.5" x14ac:dyDescent="0.35">
      <c r="A2" s="22">
        <v>1</v>
      </c>
      <c r="B2" s="22" t="s">
        <v>4170</v>
      </c>
      <c r="C2" s="23" t="s">
        <v>4171</v>
      </c>
    </row>
    <row r="3" spans="1:3" ht="58" x14ac:dyDescent="0.35">
      <c r="A3" s="22">
        <v>1</v>
      </c>
      <c r="B3" s="22" t="s">
        <v>3357</v>
      </c>
      <c r="C3" s="23" t="s">
        <v>3358</v>
      </c>
    </row>
    <row r="4" spans="1:3" ht="29" x14ac:dyDescent="0.35">
      <c r="A4" s="22">
        <v>2</v>
      </c>
      <c r="B4" s="22" t="s">
        <v>3360</v>
      </c>
      <c r="C4" s="23" t="s">
        <v>3359</v>
      </c>
    </row>
    <row r="5" spans="1:3" x14ac:dyDescent="0.35">
      <c r="A5" s="22">
        <v>3</v>
      </c>
      <c r="B5" s="22" t="s">
        <v>3361</v>
      </c>
      <c r="C5" s="22" t="s">
        <v>3363</v>
      </c>
    </row>
    <row r="6" spans="1:3" ht="43.5" x14ac:dyDescent="0.35">
      <c r="A6" s="22">
        <v>4</v>
      </c>
      <c r="B6" s="22" t="s">
        <v>3362</v>
      </c>
      <c r="C6" s="23" t="s">
        <v>3367</v>
      </c>
    </row>
    <row r="7" spans="1:3" ht="29" x14ac:dyDescent="0.35">
      <c r="A7" s="22">
        <v>5</v>
      </c>
      <c r="B7" s="22" t="s">
        <v>3364</v>
      </c>
      <c r="C7" s="23" t="s">
        <v>3365</v>
      </c>
    </row>
    <row r="8" spans="1:3" ht="72.5" x14ac:dyDescent="0.35">
      <c r="A8" s="22">
        <v>6</v>
      </c>
      <c r="B8" s="22" t="s">
        <v>3366</v>
      </c>
      <c r="C8" s="23" t="s">
        <v>3370</v>
      </c>
    </row>
    <row r="9" spans="1:3" x14ac:dyDescent="0.35">
      <c r="A9" s="22">
        <v>7</v>
      </c>
      <c r="B9" s="22" t="s">
        <v>3368</v>
      </c>
      <c r="C9" s="22" t="s">
        <v>3369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E36"/>
  <sheetViews>
    <sheetView workbookViewId="0">
      <pane xSplit="2" ySplit="1" topLeftCell="C2" activePane="bottomRight" state="frozen"/>
      <selection pane="topRight" activeCell="C1" sqref="C1"/>
      <selection pane="bottomLeft" activeCell="A2" sqref="A2"/>
      <selection pane="bottomRight" activeCell="C37" sqref="C37"/>
    </sheetView>
  </sheetViews>
  <sheetFormatPr defaultRowHeight="14.5" x14ac:dyDescent="0.35"/>
  <cols>
    <col min="2" max="2" width="19.453125" bestFit="1" customWidth="1"/>
    <col min="3" max="4" width="60.54296875" bestFit="1" customWidth="1"/>
    <col min="5" max="5" width="18.81640625" bestFit="1" customWidth="1"/>
  </cols>
  <sheetData>
    <row r="1" spans="1:5" s="9" customFormat="1" x14ac:dyDescent="0.35">
      <c r="A1" s="9" t="s">
        <v>3345</v>
      </c>
      <c r="B1" s="9" t="s">
        <v>3346</v>
      </c>
      <c r="C1" s="9" t="s">
        <v>3323</v>
      </c>
      <c r="D1" s="9" t="s">
        <v>3347</v>
      </c>
      <c r="E1" s="9" t="s">
        <v>3126</v>
      </c>
    </row>
    <row r="2" spans="1:5" x14ac:dyDescent="0.35">
      <c r="A2" t="s">
        <v>3348</v>
      </c>
      <c r="B2" t="s">
        <v>3324</v>
      </c>
      <c r="C2" t="s">
        <v>3349</v>
      </c>
    </row>
    <row r="3" spans="1:5" x14ac:dyDescent="0.35">
      <c r="A3" t="s">
        <v>3348</v>
      </c>
      <c r="B3" t="s">
        <v>3328</v>
      </c>
      <c r="C3" t="s">
        <v>3350</v>
      </c>
    </row>
    <row r="4" spans="1:5" x14ac:dyDescent="0.35">
      <c r="A4" t="s">
        <v>3348</v>
      </c>
      <c r="B4" t="s">
        <v>3329</v>
      </c>
      <c r="C4" t="s">
        <v>3351</v>
      </c>
    </row>
    <row r="5" spans="1:5" x14ac:dyDescent="0.35">
      <c r="A5" t="s">
        <v>3348</v>
      </c>
      <c r="B5" t="s">
        <v>61</v>
      </c>
      <c r="C5" t="s">
        <v>3352</v>
      </c>
    </row>
    <row r="6" spans="1:5" x14ac:dyDescent="0.35">
      <c r="A6" t="s">
        <v>3348</v>
      </c>
      <c r="B6" t="s">
        <v>3331</v>
      </c>
      <c r="C6" t="s">
        <v>3332</v>
      </c>
    </row>
    <row r="7" spans="1:5" x14ac:dyDescent="0.35">
      <c r="A7" t="s">
        <v>3348</v>
      </c>
      <c r="B7" t="s">
        <v>3334</v>
      </c>
      <c r="C7" t="s">
        <v>3333</v>
      </c>
    </row>
    <row r="8" spans="1:5" x14ac:dyDescent="0.35">
      <c r="A8" t="s">
        <v>3348</v>
      </c>
      <c r="B8" t="s">
        <v>13</v>
      </c>
      <c r="C8" t="s">
        <v>3354</v>
      </c>
      <c r="E8" t="s">
        <v>3353</v>
      </c>
    </row>
    <row r="9" spans="1:5" x14ac:dyDescent="0.35">
      <c r="A9" t="s">
        <v>3348</v>
      </c>
      <c r="B9" t="s">
        <v>3335</v>
      </c>
    </row>
    <row r="10" spans="1:5" x14ac:dyDescent="0.35">
      <c r="A10" t="s">
        <v>3348</v>
      </c>
      <c r="B10" t="s">
        <v>3338</v>
      </c>
    </row>
    <row r="11" spans="1:5" x14ac:dyDescent="0.35">
      <c r="A11" t="s">
        <v>3348</v>
      </c>
      <c r="B11" t="s">
        <v>3340</v>
      </c>
    </row>
    <row r="12" spans="1:5" x14ac:dyDescent="0.35">
      <c r="A12" t="s">
        <v>3348</v>
      </c>
      <c r="B12" t="s">
        <v>3342</v>
      </c>
    </row>
    <row r="13" spans="1:5" x14ac:dyDescent="0.35">
      <c r="A13" t="s">
        <v>3348</v>
      </c>
      <c r="B13" t="s">
        <v>3344</v>
      </c>
    </row>
    <row r="14" spans="1:5" x14ac:dyDescent="0.35">
      <c r="A14" t="s">
        <v>4132</v>
      </c>
      <c r="B14" t="s">
        <v>4133</v>
      </c>
      <c r="D14" t="s">
        <v>4151</v>
      </c>
    </row>
    <row r="15" spans="1:5" x14ac:dyDescent="0.35">
      <c r="A15" t="s">
        <v>4132</v>
      </c>
      <c r="B15" t="s">
        <v>4134</v>
      </c>
      <c r="D15" t="s">
        <v>4151</v>
      </c>
    </row>
    <row r="16" spans="1:5" x14ac:dyDescent="0.35">
      <c r="A16" t="s">
        <v>4132</v>
      </c>
      <c r="B16" t="s">
        <v>4135</v>
      </c>
      <c r="D16" t="s">
        <v>4151</v>
      </c>
    </row>
    <row r="17" spans="1:4" x14ac:dyDescent="0.35">
      <c r="A17" t="s">
        <v>4132</v>
      </c>
      <c r="B17" t="s">
        <v>4136</v>
      </c>
      <c r="D17" t="s">
        <v>4151</v>
      </c>
    </row>
    <row r="18" spans="1:4" x14ac:dyDescent="0.35">
      <c r="A18" t="s">
        <v>4132</v>
      </c>
      <c r="B18" t="s">
        <v>4137</v>
      </c>
      <c r="D18" t="s">
        <v>4151</v>
      </c>
    </row>
    <row r="19" spans="1:4" x14ac:dyDescent="0.35">
      <c r="A19" t="s">
        <v>4132</v>
      </c>
      <c r="B19" t="s">
        <v>4138</v>
      </c>
      <c r="D19" t="s">
        <v>4151</v>
      </c>
    </row>
    <row r="20" spans="1:4" x14ac:dyDescent="0.35">
      <c r="A20" t="s">
        <v>4132</v>
      </c>
      <c r="B20" t="s">
        <v>4139</v>
      </c>
      <c r="D20" t="s">
        <v>4151</v>
      </c>
    </row>
    <row r="21" spans="1:4" x14ac:dyDescent="0.35">
      <c r="A21" t="s">
        <v>4132</v>
      </c>
      <c r="B21" t="s">
        <v>4140</v>
      </c>
      <c r="D21" t="s">
        <v>4151</v>
      </c>
    </row>
    <row r="22" spans="1:4" x14ac:dyDescent="0.35">
      <c r="A22" t="s">
        <v>4132</v>
      </c>
      <c r="B22" t="s">
        <v>4141</v>
      </c>
      <c r="D22" t="s">
        <v>4151</v>
      </c>
    </row>
    <row r="23" spans="1:4" x14ac:dyDescent="0.35">
      <c r="A23" t="s">
        <v>4132</v>
      </c>
      <c r="B23" t="s">
        <v>4142</v>
      </c>
      <c r="D23" t="s">
        <v>4151</v>
      </c>
    </row>
    <row r="24" spans="1:4" x14ac:dyDescent="0.35">
      <c r="A24" t="s">
        <v>4132</v>
      </c>
      <c r="B24" t="s">
        <v>4143</v>
      </c>
      <c r="C24" s="38"/>
      <c r="D24" s="38" t="s">
        <v>4152</v>
      </c>
    </row>
    <row r="25" spans="1:4" x14ac:dyDescent="0.35">
      <c r="A25" t="s">
        <v>4132</v>
      </c>
      <c r="B25" t="s">
        <v>4144</v>
      </c>
      <c r="C25" s="38" t="s">
        <v>4164</v>
      </c>
      <c r="D25" s="38" t="s">
        <v>4153</v>
      </c>
    </row>
    <row r="26" spans="1:4" x14ac:dyDescent="0.35">
      <c r="A26" t="s">
        <v>4132</v>
      </c>
      <c r="B26" t="s">
        <v>4145</v>
      </c>
      <c r="C26" s="38"/>
      <c r="D26" s="38" t="s">
        <v>4154</v>
      </c>
    </row>
    <row r="27" spans="1:4" x14ac:dyDescent="0.35">
      <c r="A27" t="s">
        <v>4132</v>
      </c>
      <c r="B27" t="s">
        <v>4146</v>
      </c>
      <c r="C27" s="38"/>
      <c r="D27" s="38" t="s">
        <v>4155</v>
      </c>
    </row>
    <row r="28" spans="1:4" x14ac:dyDescent="0.35">
      <c r="A28" t="s">
        <v>4132</v>
      </c>
      <c r="B28" t="s">
        <v>4147</v>
      </c>
      <c r="C28" s="38"/>
      <c r="D28" s="38" t="s">
        <v>4156</v>
      </c>
    </row>
    <row r="29" spans="1:4" x14ac:dyDescent="0.35">
      <c r="A29" t="s">
        <v>4132</v>
      </c>
      <c r="B29" t="s">
        <v>4148</v>
      </c>
      <c r="C29" s="38" t="s">
        <v>4165</v>
      </c>
      <c r="D29" s="38" t="s">
        <v>4157</v>
      </c>
    </row>
    <row r="30" spans="1:4" x14ac:dyDescent="0.35">
      <c r="A30" t="s">
        <v>4132</v>
      </c>
      <c r="B30" t="s">
        <v>4149</v>
      </c>
      <c r="C30" s="38" t="s">
        <v>3354</v>
      </c>
      <c r="D30" s="38" t="s">
        <v>4158</v>
      </c>
    </row>
    <row r="31" spans="1:4" x14ac:dyDescent="0.35">
      <c r="A31" t="s">
        <v>4132</v>
      </c>
      <c r="B31" t="s">
        <v>4150</v>
      </c>
      <c r="C31" t="s">
        <v>4166</v>
      </c>
      <c r="D31" s="38" t="s">
        <v>4159</v>
      </c>
    </row>
    <row r="32" spans="1:4" x14ac:dyDescent="0.35">
      <c r="A32" t="s">
        <v>4132</v>
      </c>
      <c r="B32" t="s">
        <v>4160</v>
      </c>
    </row>
    <row r="33" spans="1:4" x14ac:dyDescent="0.35">
      <c r="A33" t="s">
        <v>4132</v>
      </c>
      <c r="B33" t="s">
        <v>4161</v>
      </c>
    </row>
    <row r="34" spans="1:4" x14ac:dyDescent="0.35">
      <c r="A34" t="s">
        <v>4132</v>
      </c>
      <c r="B34" t="s">
        <v>4162</v>
      </c>
    </row>
    <row r="35" spans="1:4" x14ac:dyDescent="0.35">
      <c r="A35" t="s">
        <v>4132</v>
      </c>
      <c r="B35" t="s">
        <v>4163</v>
      </c>
    </row>
    <row r="36" spans="1:4" x14ac:dyDescent="0.35">
      <c r="D36" t="s">
        <v>3328</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P167"/>
  <sheetViews>
    <sheetView workbookViewId="0">
      <selection activeCell="G2" sqref="G2"/>
    </sheetView>
  </sheetViews>
  <sheetFormatPr defaultRowHeight="14.5" x14ac:dyDescent="0.35"/>
  <cols>
    <col min="1" max="1" width="10.54296875" customWidth="1"/>
    <col min="2" max="2" width="23.81640625" customWidth="1"/>
    <col min="3" max="3" width="26.54296875" bestFit="1" customWidth="1"/>
    <col min="4" max="4" width="13.26953125" bestFit="1" customWidth="1"/>
    <col min="5" max="5" width="5.7265625" bestFit="1" customWidth="1"/>
    <col min="6" max="6" width="13.54296875" bestFit="1" customWidth="1"/>
    <col min="7" max="7" width="8.453125" bestFit="1" customWidth="1"/>
    <col min="8" max="8" width="9.54296875" bestFit="1" customWidth="1"/>
  </cols>
  <sheetData>
    <row r="1" spans="1:8" x14ac:dyDescent="0.35">
      <c r="A1" s="9" t="s">
        <v>3120</v>
      </c>
      <c r="B1" s="9" t="s">
        <v>3121</v>
      </c>
      <c r="C1" s="9" t="s">
        <v>3122</v>
      </c>
      <c r="D1" s="9" t="s">
        <v>14</v>
      </c>
      <c r="E1" s="9" t="s">
        <v>3123</v>
      </c>
      <c r="F1" s="9" t="s">
        <v>3124</v>
      </c>
      <c r="G1" s="9" t="s">
        <v>3125</v>
      </c>
      <c r="H1" t="s">
        <v>3126</v>
      </c>
    </row>
    <row r="2" spans="1:8" x14ac:dyDescent="0.35">
      <c r="A2" t="s">
        <v>3127</v>
      </c>
      <c r="B2" t="s">
        <v>3128</v>
      </c>
      <c r="C2" t="s">
        <v>3129</v>
      </c>
      <c r="D2" t="s">
        <v>214</v>
      </c>
      <c r="E2" t="s">
        <v>18</v>
      </c>
      <c r="F2" t="s">
        <v>215</v>
      </c>
      <c r="G2" t="str">
        <f>IF(UPPER(LEFT(A2,5))= "FINAN","BANKL",UPPER(LEFT(A2,5)))</f>
        <v>AUTOL</v>
      </c>
    </row>
    <row r="3" spans="1:8" x14ac:dyDescent="0.35">
      <c r="A3" t="s">
        <v>3127</v>
      </c>
      <c r="B3" t="s">
        <v>3130</v>
      </c>
      <c r="C3" t="s">
        <v>3129</v>
      </c>
      <c r="D3" t="s">
        <v>262</v>
      </c>
      <c r="E3" t="s">
        <v>18</v>
      </c>
      <c r="F3" t="s">
        <v>263</v>
      </c>
      <c r="G3" t="str">
        <f t="shared" ref="G3:G66" si="0">IF(UPPER(LEFT(A3,5))= "FINAN","BANKL",UPPER(LEFT(A3,5)))</f>
        <v>AUTOL</v>
      </c>
    </row>
    <row r="4" spans="1:8" x14ac:dyDescent="0.35">
      <c r="A4" t="s">
        <v>3127</v>
      </c>
      <c r="B4" t="s">
        <v>3131</v>
      </c>
      <c r="C4" t="s">
        <v>3129</v>
      </c>
      <c r="D4" t="s">
        <v>25</v>
      </c>
      <c r="E4" t="s">
        <v>18</v>
      </c>
      <c r="F4" t="s">
        <v>312</v>
      </c>
      <c r="G4" t="str">
        <f t="shared" si="0"/>
        <v>AUTOL</v>
      </c>
    </row>
    <row r="5" spans="1:8" x14ac:dyDescent="0.35">
      <c r="A5" t="s">
        <v>3127</v>
      </c>
      <c r="B5" t="s">
        <v>3132</v>
      </c>
      <c r="C5" t="s">
        <v>3129</v>
      </c>
      <c r="D5" t="s">
        <v>371</v>
      </c>
      <c r="E5" t="s">
        <v>18</v>
      </c>
      <c r="F5" t="s">
        <v>372</v>
      </c>
      <c r="G5" t="str">
        <f t="shared" si="0"/>
        <v>AUTOL</v>
      </c>
    </row>
    <row r="6" spans="1:8" x14ac:dyDescent="0.35">
      <c r="A6" t="s">
        <v>3127</v>
      </c>
      <c r="B6" t="s">
        <v>3133</v>
      </c>
      <c r="C6" t="s">
        <v>3134</v>
      </c>
      <c r="D6" t="s">
        <v>458</v>
      </c>
      <c r="E6" t="s">
        <v>18</v>
      </c>
      <c r="F6" t="s">
        <v>459</v>
      </c>
      <c r="G6" t="str">
        <f t="shared" si="0"/>
        <v>AUTOL</v>
      </c>
    </row>
    <row r="7" spans="1:8" x14ac:dyDescent="0.35">
      <c r="A7" t="s">
        <v>3127</v>
      </c>
      <c r="B7" t="s">
        <v>3135</v>
      </c>
      <c r="C7" t="s">
        <v>3129</v>
      </c>
      <c r="D7" t="s">
        <v>508</v>
      </c>
      <c r="E7" t="s">
        <v>18</v>
      </c>
      <c r="F7" t="s">
        <v>509</v>
      </c>
      <c r="G7" t="str">
        <f t="shared" si="0"/>
        <v>AUTOL</v>
      </c>
    </row>
    <row r="8" spans="1:8" x14ac:dyDescent="0.35">
      <c r="A8" t="s">
        <v>3127</v>
      </c>
      <c r="B8" t="s">
        <v>3136</v>
      </c>
      <c r="C8" t="s">
        <v>3129</v>
      </c>
      <c r="D8" t="s">
        <v>38</v>
      </c>
      <c r="E8" t="s">
        <v>18</v>
      </c>
      <c r="F8" t="s">
        <v>817</v>
      </c>
      <c r="G8" t="str">
        <f t="shared" si="0"/>
        <v>AUTOL</v>
      </c>
    </row>
    <row r="9" spans="1:8" x14ac:dyDescent="0.35">
      <c r="A9" t="s">
        <v>3127</v>
      </c>
      <c r="B9" t="s">
        <v>3137</v>
      </c>
      <c r="C9" t="s">
        <v>3129</v>
      </c>
      <c r="D9" t="s">
        <v>883</v>
      </c>
      <c r="E9" t="s">
        <v>18</v>
      </c>
      <c r="F9" t="s">
        <v>884</v>
      </c>
      <c r="G9" t="str">
        <f t="shared" si="0"/>
        <v>AUTOL</v>
      </c>
    </row>
    <row r="10" spans="1:8" x14ac:dyDescent="0.35">
      <c r="A10" t="s">
        <v>3127</v>
      </c>
      <c r="B10" t="s">
        <v>3138</v>
      </c>
      <c r="C10" t="s">
        <v>3129</v>
      </c>
      <c r="D10" s="17" t="s">
        <v>42</v>
      </c>
      <c r="E10" t="s">
        <v>18</v>
      </c>
      <c r="F10" t="s">
        <v>1171</v>
      </c>
      <c r="G10" s="17" t="str">
        <f t="shared" si="0"/>
        <v>AUTOL</v>
      </c>
    </row>
    <row r="11" spans="1:8" x14ac:dyDescent="0.35">
      <c r="A11" t="s">
        <v>3127</v>
      </c>
      <c r="B11" t="s">
        <v>3139</v>
      </c>
      <c r="C11" t="s">
        <v>3129</v>
      </c>
      <c r="D11" t="s">
        <v>1882</v>
      </c>
      <c r="E11" t="s">
        <v>18</v>
      </c>
      <c r="F11" t="s">
        <v>1883</v>
      </c>
      <c r="G11" t="str">
        <f t="shared" si="0"/>
        <v>AUTOL</v>
      </c>
    </row>
    <row r="12" spans="1:8" x14ac:dyDescent="0.35">
      <c r="A12" t="s">
        <v>3127</v>
      </c>
      <c r="B12" t="s">
        <v>3140</v>
      </c>
      <c r="C12" t="s">
        <v>3129</v>
      </c>
      <c r="D12" t="s">
        <v>1719</v>
      </c>
      <c r="E12" t="s">
        <v>18</v>
      </c>
      <c r="F12" t="s">
        <v>1720</v>
      </c>
      <c r="G12" t="str">
        <f t="shared" si="0"/>
        <v>AUTOL</v>
      </c>
    </row>
    <row r="13" spans="1:8" x14ac:dyDescent="0.35">
      <c r="A13" t="s">
        <v>3127</v>
      </c>
      <c r="B13" t="s">
        <v>3141</v>
      </c>
      <c r="C13" t="s">
        <v>3129</v>
      </c>
      <c r="D13" t="s">
        <v>51</v>
      </c>
      <c r="E13" t="s">
        <v>18</v>
      </c>
      <c r="F13" t="s">
        <v>1798</v>
      </c>
      <c r="G13" t="str">
        <f t="shared" si="0"/>
        <v>AUTOL</v>
      </c>
    </row>
    <row r="14" spans="1:8" x14ac:dyDescent="0.35">
      <c r="A14" t="s">
        <v>3127</v>
      </c>
      <c r="B14" t="s">
        <v>3142</v>
      </c>
      <c r="C14" t="s">
        <v>3129</v>
      </c>
      <c r="D14" t="s">
        <v>52</v>
      </c>
      <c r="E14" t="s">
        <v>18</v>
      </c>
      <c r="F14" t="s">
        <v>1873</v>
      </c>
      <c r="G14" t="str">
        <f t="shared" si="0"/>
        <v>AUTOL</v>
      </c>
    </row>
    <row r="15" spans="1:8" x14ac:dyDescent="0.35">
      <c r="A15" t="s">
        <v>3127</v>
      </c>
      <c r="B15" t="s">
        <v>3143</v>
      </c>
      <c r="C15" t="s">
        <v>3129</v>
      </c>
      <c r="D15" t="s">
        <v>2889</v>
      </c>
      <c r="E15" t="s">
        <v>18</v>
      </c>
      <c r="F15" t="s">
        <v>2890</v>
      </c>
      <c r="G15" t="str">
        <f t="shared" si="0"/>
        <v>AUTOL</v>
      </c>
    </row>
    <row r="16" spans="1:8" x14ac:dyDescent="0.35">
      <c r="A16" t="s">
        <v>3127</v>
      </c>
      <c r="B16" t="s">
        <v>3144</v>
      </c>
      <c r="C16" t="s">
        <v>3129</v>
      </c>
      <c r="D16" t="s">
        <v>2754</v>
      </c>
      <c r="E16" t="s">
        <v>18</v>
      </c>
      <c r="F16" t="s">
        <v>2755</v>
      </c>
      <c r="G16" t="str">
        <f t="shared" si="0"/>
        <v>AUTOL</v>
      </c>
    </row>
    <row r="17" spans="1:16" x14ac:dyDescent="0.35">
      <c r="A17" t="s">
        <v>3145</v>
      </c>
      <c r="B17" t="s">
        <v>3146</v>
      </c>
      <c r="C17" t="s">
        <v>3147</v>
      </c>
      <c r="D17" t="s">
        <v>375</v>
      </c>
      <c r="E17" t="s">
        <v>18</v>
      </c>
      <c r="F17" t="s">
        <v>376</v>
      </c>
      <c r="G17" t="str">
        <f t="shared" si="0"/>
        <v>CONSU</v>
      </c>
    </row>
    <row r="18" spans="1:16" x14ac:dyDescent="0.35">
      <c r="A18" t="s">
        <v>3145</v>
      </c>
      <c r="B18" t="s">
        <v>3148</v>
      </c>
      <c r="C18" t="s">
        <v>3147</v>
      </c>
      <c r="D18" t="s">
        <v>31</v>
      </c>
      <c r="E18" t="s">
        <v>18</v>
      </c>
      <c r="F18" t="s">
        <v>424</v>
      </c>
      <c r="G18" t="str">
        <f t="shared" si="0"/>
        <v>CONSU</v>
      </c>
    </row>
    <row r="19" spans="1:16" x14ac:dyDescent="0.35">
      <c r="A19" t="s">
        <v>3145</v>
      </c>
      <c r="B19" t="s">
        <v>3149</v>
      </c>
      <c r="C19" t="s">
        <v>3147</v>
      </c>
      <c r="D19" t="s">
        <v>500</v>
      </c>
      <c r="E19" t="s">
        <v>18</v>
      </c>
      <c r="F19" t="s">
        <v>501</v>
      </c>
      <c r="G19" t="str">
        <f t="shared" si="0"/>
        <v>CONSU</v>
      </c>
    </row>
    <row r="20" spans="1:16" x14ac:dyDescent="0.35">
      <c r="A20" t="s">
        <v>3145</v>
      </c>
      <c r="B20" t="s">
        <v>3150</v>
      </c>
      <c r="C20" t="s">
        <v>3147</v>
      </c>
      <c r="D20" t="s">
        <v>678</v>
      </c>
      <c r="E20" t="s">
        <v>18</v>
      </c>
      <c r="F20" t="s">
        <v>679</v>
      </c>
      <c r="G20" t="str">
        <f t="shared" si="0"/>
        <v>CONSU</v>
      </c>
    </row>
    <row r="21" spans="1:16" x14ac:dyDescent="0.35">
      <c r="A21" t="s">
        <v>3145</v>
      </c>
      <c r="B21" t="s">
        <v>3151</v>
      </c>
      <c r="C21" t="s">
        <v>3147</v>
      </c>
      <c r="D21" t="s">
        <v>1136</v>
      </c>
      <c r="E21" t="s">
        <v>18</v>
      </c>
      <c r="F21" t="s">
        <v>1137</v>
      </c>
      <c r="G21" t="str">
        <f t="shared" si="0"/>
        <v>CONSU</v>
      </c>
    </row>
    <row r="22" spans="1:16" x14ac:dyDescent="0.35">
      <c r="A22" t="s">
        <v>3145</v>
      </c>
      <c r="B22" t="s">
        <v>3152</v>
      </c>
      <c r="C22" t="s">
        <v>3147</v>
      </c>
      <c r="D22" t="s">
        <v>2087</v>
      </c>
      <c r="E22" t="s">
        <v>18</v>
      </c>
      <c r="F22" t="s">
        <v>2088</v>
      </c>
      <c r="G22" t="str">
        <f t="shared" si="0"/>
        <v>CONSU</v>
      </c>
    </row>
    <row r="23" spans="1:16" x14ac:dyDescent="0.35">
      <c r="A23" t="s">
        <v>3145</v>
      </c>
      <c r="B23" t="s">
        <v>3153</v>
      </c>
      <c r="C23" t="s">
        <v>3147</v>
      </c>
      <c r="D23" t="s">
        <v>2286</v>
      </c>
      <c r="E23" t="s">
        <v>18</v>
      </c>
      <c r="F23" t="s">
        <v>2287</v>
      </c>
      <c r="G23" t="str">
        <f t="shared" si="0"/>
        <v>CONSU</v>
      </c>
    </row>
    <row r="24" spans="1:16" x14ac:dyDescent="0.35">
      <c r="A24" t="s">
        <v>3145</v>
      </c>
      <c r="B24" t="s">
        <v>3154</v>
      </c>
      <c r="C24" t="s">
        <v>3147</v>
      </c>
      <c r="D24" t="s">
        <v>2330</v>
      </c>
      <c r="E24" t="s">
        <v>18</v>
      </c>
      <c r="F24" t="s">
        <v>2331</v>
      </c>
      <c r="G24" t="str">
        <f t="shared" si="0"/>
        <v>CONSU</v>
      </c>
    </row>
    <row r="25" spans="1:16" x14ac:dyDescent="0.35">
      <c r="A25" t="s">
        <v>3145</v>
      </c>
      <c r="B25" t="s">
        <v>3155</v>
      </c>
      <c r="C25" t="s">
        <v>3147</v>
      </c>
      <c r="D25" t="s">
        <v>2722</v>
      </c>
      <c r="E25" t="s">
        <v>18</v>
      </c>
      <c r="F25" t="s">
        <v>2723</v>
      </c>
      <c r="G25" t="str">
        <f t="shared" si="0"/>
        <v>CONSU</v>
      </c>
    </row>
    <row r="26" spans="1:16" x14ac:dyDescent="0.35">
      <c r="A26" t="s">
        <v>3145</v>
      </c>
      <c r="B26" t="s">
        <v>3156</v>
      </c>
      <c r="C26" t="s">
        <v>3147</v>
      </c>
      <c r="D26" t="s">
        <v>2879</v>
      </c>
      <c r="E26" t="s">
        <v>18</v>
      </c>
      <c r="F26" t="s">
        <v>2880</v>
      </c>
      <c r="G26" t="str">
        <f t="shared" si="0"/>
        <v>CONSU</v>
      </c>
    </row>
    <row r="27" spans="1:16" x14ac:dyDescent="0.35">
      <c r="A27" t="s">
        <v>3145</v>
      </c>
      <c r="B27" t="s">
        <v>3157</v>
      </c>
      <c r="C27" t="s">
        <v>3147</v>
      </c>
      <c r="D27" t="s">
        <v>2843</v>
      </c>
      <c r="E27" t="s">
        <v>18</v>
      </c>
      <c r="F27" t="s">
        <v>2844</v>
      </c>
      <c r="G27" t="str">
        <f t="shared" si="0"/>
        <v>CONSU</v>
      </c>
    </row>
    <row r="28" spans="1:16" x14ac:dyDescent="0.35">
      <c r="A28" t="s">
        <v>3145</v>
      </c>
      <c r="B28" t="s">
        <v>3158</v>
      </c>
      <c r="C28" t="s">
        <v>3147</v>
      </c>
      <c r="D28" t="s">
        <v>2985</v>
      </c>
      <c r="E28" t="s">
        <v>18</v>
      </c>
      <c r="F28" t="s">
        <v>2986</v>
      </c>
      <c r="G28" t="str">
        <f t="shared" si="0"/>
        <v>CONSU</v>
      </c>
    </row>
    <row r="29" spans="1:16" x14ac:dyDescent="0.35">
      <c r="A29" t="s">
        <v>3145</v>
      </c>
      <c r="B29" t="s">
        <v>3159</v>
      </c>
      <c r="C29" t="s">
        <v>3147</v>
      </c>
      <c r="D29" t="s">
        <v>3009</v>
      </c>
      <c r="E29" t="s">
        <v>18</v>
      </c>
      <c r="F29" t="s">
        <v>3010</v>
      </c>
      <c r="G29" t="str">
        <f t="shared" si="0"/>
        <v>CONSU</v>
      </c>
    </row>
    <row r="30" spans="1:16" s="16" customFormat="1" x14ac:dyDescent="0.35">
      <c r="A30" t="s">
        <v>3145</v>
      </c>
      <c r="B30" t="s">
        <v>3160</v>
      </c>
      <c r="C30" t="s">
        <v>3147</v>
      </c>
      <c r="D30" t="s">
        <v>59</v>
      </c>
      <c r="E30" t="s">
        <v>18</v>
      </c>
      <c r="F30" t="s">
        <v>3031</v>
      </c>
      <c r="G30" t="str">
        <f t="shared" si="0"/>
        <v>CONSU</v>
      </c>
      <c r="H30"/>
      <c r="K30"/>
      <c r="P30"/>
    </row>
    <row r="31" spans="1:16" x14ac:dyDescent="0.35">
      <c r="A31" t="s">
        <v>3145</v>
      </c>
      <c r="B31" t="s">
        <v>3161</v>
      </c>
      <c r="C31" t="s">
        <v>3147</v>
      </c>
      <c r="D31" t="s">
        <v>3068</v>
      </c>
      <c r="E31" t="s">
        <v>18</v>
      </c>
      <c r="F31" t="s">
        <v>3069</v>
      </c>
      <c r="G31" t="str">
        <f t="shared" si="0"/>
        <v>CONSU</v>
      </c>
    </row>
    <row r="32" spans="1:16" x14ac:dyDescent="0.35">
      <c r="A32" t="s">
        <v>3162</v>
      </c>
      <c r="B32" t="s">
        <v>3163</v>
      </c>
      <c r="C32" t="s">
        <v>3164</v>
      </c>
      <c r="D32" t="s">
        <v>359</v>
      </c>
      <c r="E32" t="s">
        <v>18</v>
      </c>
      <c r="F32" t="s">
        <v>360</v>
      </c>
      <c r="G32" t="str">
        <f t="shared" si="0"/>
        <v>BANKL</v>
      </c>
    </row>
    <row r="33" spans="1:7" x14ac:dyDescent="0.35">
      <c r="A33" t="s">
        <v>3162</v>
      </c>
      <c r="B33" t="s">
        <v>3165</v>
      </c>
      <c r="C33" t="s">
        <v>3164</v>
      </c>
      <c r="D33" t="s">
        <v>408</v>
      </c>
      <c r="E33" t="s">
        <v>18</v>
      </c>
      <c r="F33" t="s">
        <v>409</v>
      </c>
      <c r="G33" t="str">
        <f t="shared" si="0"/>
        <v>BANKL</v>
      </c>
    </row>
    <row r="34" spans="1:7" x14ac:dyDescent="0.35">
      <c r="A34" t="s">
        <v>3162</v>
      </c>
      <c r="B34" t="s">
        <v>3166</v>
      </c>
      <c r="C34" t="s">
        <v>3164</v>
      </c>
      <c r="D34" t="s">
        <v>412</v>
      </c>
      <c r="E34" t="s">
        <v>18</v>
      </c>
      <c r="F34" t="s">
        <v>413</v>
      </c>
      <c r="G34" t="str">
        <f t="shared" si="0"/>
        <v>BANKL</v>
      </c>
    </row>
    <row r="35" spans="1:7" x14ac:dyDescent="0.35">
      <c r="A35" t="s">
        <v>3162</v>
      </c>
      <c r="B35" t="s">
        <v>3167</v>
      </c>
      <c r="C35" t="s">
        <v>3164</v>
      </c>
      <c r="D35" t="s">
        <v>899</v>
      </c>
      <c r="E35" t="s">
        <v>18</v>
      </c>
      <c r="F35" t="s">
        <v>900</v>
      </c>
      <c r="G35" t="str">
        <f t="shared" si="0"/>
        <v>BANKL</v>
      </c>
    </row>
    <row r="36" spans="1:7" x14ac:dyDescent="0.35">
      <c r="A36" t="s">
        <v>3162</v>
      </c>
      <c r="B36" t="s">
        <v>3168</v>
      </c>
      <c r="C36" t="s">
        <v>3164</v>
      </c>
      <c r="D36" t="s">
        <v>41</v>
      </c>
      <c r="E36" t="s">
        <v>18</v>
      </c>
      <c r="F36" t="s">
        <v>1154</v>
      </c>
      <c r="G36" t="str">
        <f t="shared" si="0"/>
        <v>BANKL</v>
      </c>
    </row>
    <row r="37" spans="1:7" x14ac:dyDescent="0.35">
      <c r="A37" t="s">
        <v>3162</v>
      </c>
      <c r="B37" t="s">
        <v>3169</v>
      </c>
      <c r="C37" t="s">
        <v>3164</v>
      </c>
      <c r="D37" t="s">
        <v>45</v>
      </c>
      <c r="E37" t="s">
        <v>18</v>
      </c>
      <c r="F37" t="s">
        <v>1258</v>
      </c>
      <c r="G37" t="str">
        <f t="shared" si="0"/>
        <v>BANKL</v>
      </c>
    </row>
    <row r="38" spans="1:7" x14ac:dyDescent="0.35">
      <c r="A38" t="s">
        <v>3162</v>
      </c>
      <c r="B38" t="s">
        <v>3170</v>
      </c>
      <c r="C38" t="s">
        <v>3164</v>
      </c>
      <c r="D38" t="s">
        <v>1298</v>
      </c>
      <c r="E38" t="s">
        <v>18</v>
      </c>
      <c r="F38" t="s">
        <v>1299</v>
      </c>
      <c r="G38" t="str">
        <f t="shared" si="0"/>
        <v>BANKL</v>
      </c>
    </row>
    <row r="39" spans="1:7" x14ac:dyDescent="0.35">
      <c r="A39" t="s">
        <v>3162</v>
      </c>
      <c r="B39" t="s">
        <v>3171</v>
      </c>
      <c r="C39" t="s">
        <v>3164</v>
      </c>
      <c r="D39" t="s">
        <v>1368</v>
      </c>
      <c r="E39" t="s">
        <v>18</v>
      </c>
      <c r="F39" t="s">
        <v>1369</v>
      </c>
      <c r="G39" t="str">
        <f t="shared" si="0"/>
        <v>BANKL</v>
      </c>
    </row>
    <row r="40" spans="1:7" x14ac:dyDescent="0.35">
      <c r="A40" t="s">
        <v>3162</v>
      </c>
      <c r="B40" t="s">
        <v>3172</v>
      </c>
      <c r="C40" t="s">
        <v>3164</v>
      </c>
      <c r="D40" t="s">
        <v>1607</v>
      </c>
      <c r="E40" t="s">
        <v>18</v>
      </c>
      <c r="F40" t="s">
        <v>1608</v>
      </c>
      <c r="G40" t="str">
        <f t="shared" si="0"/>
        <v>BANKL</v>
      </c>
    </row>
    <row r="41" spans="1:7" x14ac:dyDescent="0.35">
      <c r="A41" t="s">
        <v>3162</v>
      </c>
      <c r="B41" t="s">
        <v>3173</v>
      </c>
      <c r="C41" t="s">
        <v>3164</v>
      </c>
      <c r="D41" t="s">
        <v>2184</v>
      </c>
      <c r="E41" t="s">
        <v>18</v>
      </c>
      <c r="F41" t="s">
        <v>2185</v>
      </c>
      <c r="G41" t="str">
        <f t="shared" si="0"/>
        <v>BANKL</v>
      </c>
    </row>
    <row r="42" spans="1:7" x14ac:dyDescent="0.35">
      <c r="A42" t="s">
        <v>3162</v>
      </c>
      <c r="B42" t="s">
        <v>3174</v>
      </c>
      <c r="C42" t="s">
        <v>3164</v>
      </c>
      <c r="D42" t="s">
        <v>2320</v>
      </c>
      <c r="E42" t="s">
        <v>18</v>
      </c>
      <c r="F42" t="s">
        <v>2321</v>
      </c>
      <c r="G42" t="str">
        <f t="shared" si="0"/>
        <v>BANKL</v>
      </c>
    </row>
    <row r="43" spans="1:7" x14ac:dyDescent="0.35">
      <c r="A43" t="s">
        <v>3162</v>
      </c>
      <c r="B43" t="s">
        <v>3175</v>
      </c>
      <c r="C43" t="s">
        <v>3164</v>
      </c>
      <c r="D43" t="s">
        <v>56</v>
      </c>
      <c r="E43" t="s">
        <v>18</v>
      </c>
      <c r="F43" t="s">
        <v>2462</v>
      </c>
      <c r="G43" t="str">
        <f t="shared" si="0"/>
        <v>BANKL</v>
      </c>
    </row>
    <row r="44" spans="1:7" x14ac:dyDescent="0.35">
      <c r="A44" t="s">
        <v>3176</v>
      </c>
      <c r="B44" t="s">
        <v>3177</v>
      </c>
      <c r="C44" t="s">
        <v>3164</v>
      </c>
      <c r="D44" t="s">
        <v>28</v>
      </c>
      <c r="E44" t="s">
        <v>18</v>
      </c>
      <c r="F44" t="s">
        <v>383</v>
      </c>
      <c r="G44" t="str">
        <f t="shared" si="0"/>
        <v>BANKL</v>
      </c>
    </row>
    <row r="45" spans="1:7" x14ac:dyDescent="0.35">
      <c r="A45" t="s">
        <v>3176</v>
      </c>
      <c r="B45" t="s">
        <v>3178</v>
      </c>
      <c r="C45" t="s">
        <v>3164</v>
      </c>
      <c r="D45" t="s">
        <v>377</v>
      </c>
      <c r="E45" t="s">
        <v>18</v>
      </c>
      <c r="F45" t="s">
        <v>378</v>
      </c>
      <c r="G45" t="str">
        <f t="shared" si="0"/>
        <v>BANKL</v>
      </c>
    </row>
    <row r="46" spans="1:7" x14ac:dyDescent="0.35">
      <c r="A46" t="s">
        <v>3176</v>
      </c>
      <c r="B46" t="s">
        <v>3179</v>
      </c>
      <c r="C46" t="s">
        <v>3164</v>
      </c>
      <c r="D46" t="s">
        <v>381</v>
      </c>
      <c r="E46" t="s">
        <v>18</v>
      </c>
      <c r="F46" t="s">
        <v>382</v>
      </c>
      <c r="G46" t="str">
        <f t="shared" si="0"/>
        <v>BANKL</v>
      </c>
    </row>
    <row r="47" spans="1:7" x14ac:dyDescent="0.35">
      <c r="A47" t="s">
        <v>3176</v>
      </c>
      <c r="B47" t="s">
        <v>3180</v>
      </c>
      <c r="C47" t="s">
        <v>3164</v>
      </c>
      <c r="D47" t="s">
        <v>616</v>
      </c>
      <c r="E47" t="s">
        <v>18</v>
      </c>
      <c r="F47" t="s">
        <v>617</v>
      </c>
      <c r="G47" t="str">
        <f t="shared" si="0"/>
        <v>BANKL</v>
      </c>
    </row>
    <row r="48" spans="1:7" x14ac:dyDescent="0.35">
      <c r="A48" t="s">
        <v>3176</v>
      </c>
      <c r="B48" t="s">
        <v>3181</v>
      </c>
      <c r="C48" t="s">
        <v>3164</v>
      </c>
      <c r="D48" t="s">
        <v>815</v>
      </c>
      <c r="E48" t="s">
        <v>18</v>
      </c>
      <c r="F48" t="s">
        <v>816</v>
      </c>
      <c r="G48" t="str">
        <f t="shared" si="0"/>
        <v>BANKL</v>
      </c>
    </row>
    <row r="49" spans="1:7" x14ac:dyDescent="0.35">
      <c r="A49" t="s">
        <v>3176</v>
      </c>
      <c r="B49" t="s">
        <v>3182</v>
      </c>
      <c r="C49" t="s">
        <v>3164</v>
      </c>
      <c r="D49" t="s">
        <v>1155</v>
      </c>
      <c r="E49" t="s">
        <v>18</v>
      </c>
      <c r="F49" t="s">
        <v>1156</v>
      </c>
      <c r="G49" t="str">
        <f t="shared" si="0"/>
        <v>BANKL</v>
      </c>
    </row>
    <row r="50" spans="1:7" x14ac:dyDescent="0.35">
      <c r="A50" t="s">
        <v>3176</v>
      </c>
      <c r="B50" t="s">
        <v>3183</v>
      </c>
      <c r="C50" t="s">
        <v>3164</v>
      </c>
      <c r="D50" t="s">
        <v>1150</v>
      </c>
      <c r="E50" t="s">
        <v>18</v>
      </c>
      <c r="F50" t="s">
        <v>1151</v>
      </c>
      <c r="G50" t="str">
        <f t="shared" si="0"/>
        <v>BANKL</v>
      </c>
    </row>
    <row r="51" spans="1:7" x14ac:dyDescent="0.35">
      <c r="A51" t="s">
        <v>3176</v>
      </c>
      <c r="B51" t="s">
        <v>3184</v>
      </c>
      <c r="C51" t="s">
        <v>3164</v>
      </c>
      <c r="D51" t="s">
        <v>1263</v>
      </c>
      <c r="E51" t="s">
        <v>18</v>
      </c>
      <c r="F51" t="s">
        <v>1264</v>
      </c>
      <c r="G51" t="str">
        <f t="shared" si="0"/>
        <v>BANKL</v>
      </c>
    </row>
    <row r="52" spans="1:7" x14ac:dyDescent="0.35">
      <c r="A52" t="s">
        <v>3176</v>
      </c>
      <c r="B52" t="s">
        <v>3185</v>
      </c>
      <c r="C52" t="s">
        <v>3164</v>
      </c>
      <c r="D52" t="s">
        <v>1282</v>
      </c>
      <c r="E52" t="s">
        <v>18</v>
      </c>
      <c r="F52" t="s">
        <v>1283</v>
      </c>
      <c r="G52" t="str">
        <f t="shared" si="0"/>
        <v>BANKL</v>
      </c>
    </row>
    <row r="53" spans="1:7" x14ac:dyDescent="0.35">
      <c r="A53" t="s">
        <v>3176</v>
      </c>
      <c r="B53" t="s">
        <v>3186</v>
      </c>
      <c r="C53" t="s">
        <v>3164</v>
      </c>
      <c r="D53" t="s">
        <v>1248</v>
      </c>
      <c r="E53" t="s">
        <v>18</v>
      </c>
      <c r="F53" t="s">
        <v>1249</v>
      </c>
      <c r="G53" t="str">
        <f t="shared" si="0"/>
        <v>BANKL</v>
      </c>
    </row>
    <row r="54" spans="1:7" x14ac:dyDescent="0.35">
      <c r="A54" t="s">
        <v>3176</v>
      </c>
      <c r="B54" t="s">
        <v>3187</v>
      </c>
      <c r="C54" t="s">
        <v>3164</v>
      </c>
      <c r="D54" t="s">
        <v>1721</v>
      </c>
      <c r="E54" t="s">
        <v>18</v>
      </c>
      <c r="F54" t="s">
        <v>1722</v>
      </c>
      <c r="G54" t="str">
        <f t="shared" si="0"/>
        <v>BANKL</v>
      </c>
    </row>
    <row r="55" spans="1:7" x14ac:dyDescent="0.35">
      <c r="A55" t="s">
        <v>3176</v>
      </c>
      <c r="B55" t="s">
        <v>3188</v>
      </c>
      <c r="C55" t="s">
        <v>3164</v>
      </c>
      <c r="D55" t="s">
        <v>2149</v>
      </c>
      <c r="E55" t="s">
        <v>18</v>
      </c>
      <c r="F55" t="s">
        <v>2150</v>
      </c>
      <c r="G55" t="str">
        <f t="shared" si="0"/>
        <v>BANKL</v>
      </c>
    </row>
    <row r="56" spans="1:7" x14ac:dyDescent="0.35">
      <c r="A56" t="s">
        <v>3176</v>
      </c>
      <c r="B56" t="s">
        <v>3189</v>
      </c>
      <c r="C56" t="s">
        <v>3164</v>
      </c>
      <c r="D56" t="s">
        <v>2324</v>
      </c>
      <c r="E56" t="s">
        <v>18</v>
      </c>
      <c r="F56" t="s">
        <v>2325</v>
      </c>
      <c r="G56" t="str">
        <f t="shared" si="0"/>
        <v>BANKL</v>
      </c>
    </row>
    <row r="57" spans="1:7" x14ac:dyDescent="0.35">
      <c r="A57" t="s">
        <v>3176</v>
      </c>
      <c r="B57" t="s">
        <v>3190</v>
      </c>
      <c r="C57" t="s">
        <v>3164</v>
      </c>
      <c r="D57" t="s">
        <v>2460</v>
      </c>
      <c r="E57" t="s">
        <v>18</v>
      </c>
      <c r="F57" t="s">
        <v>2461</v>
      </c>
      <c r="G57" t="str">
        <f t="shared" si="0"/>
        <v>BANKL</v>
      </c>
    </row>
    <row r="58" spans="1:7" x14ac:dyDescent="0.35">
      <c r="A58" t="s">
        <v>3176</v>
      </c>
      <c r="B58" t="s">
        <v>3191</v>
      </c>
      <c r="C58" t="s">
        <v>3164</v>
      </c>
      <c r="D58" t="s">
        <v>2637</v>
      </c>
      <c r="E58" t="s">
        <v>18</v>
      </c>
      <c r="F58" t="s">
        <v>2638</v>
      </c>
      <c r="G58" t="str">
        <f t="shared" si="0"/>
        <v>BANKL</v>
      </c>
    </row>
    <row r="59" spans="1:7" x14ac:dyDescent="0.35">
      <c r="A59" t="s">
        <v>3192</v>
      </c>
      <c r="B59" t="s">
        <v>3193</v>
      </c>
      <c r="C59" t="s">
        <v>3147</v>
      </c>
      <c r="D59" t="s">
        <v>518</v>
      </c>
      <c r="E59" t="s">
        <v>18</v>
      </c>
      <c r="F59" t="s">
        <v>519</v>
      </c>
      <c r="G59" t="str">
        <f t="shared" si="0"/>
        <v>FMCGL</v>
      </c>
    </row>
    <row r="60" spans="1:7" x14ac:dyDescent="0.35">
      <c r="A60" t="s">
        <v>3192</v>
      </c>
      <c r="B60" t="s">
        <v>3194</v>
      </c>
      <c r="C60" t="s">
        <v>3147</v>
      </c>
      <c r="D60" t="s">
        <v>644</v>
      </c>
      <c r="E60" t="s">
        <v>18</v>
      </c>
      <c r="F60" t="s">
        <v>645</v>
      </c>
      <c r="G60" t="str">
        <f t="shared" si="0"/>
        <v>FMCGL</v>
      </c>
    </row>
    <row r="61" spans="1:7" x14ac:dyDescent="0.35">
      <c r="A61" t="s">
        <v>3192</v>
      </c>
      <c r="B61" t="s">
        <v>3195</v>
      </c>
      <c r="C61" t="s">
        <v>3147</v>
      </c>
      <c r="D61" t="s">
        <v>698</v>
      </c>
      <c r="E61" t="s">
        <v>18</v>
      </c>
      <c r="F61" t="s">
        <v>699</v>
      </c>
      <c r="G61" t="str">
        <f t="shared" si="0"/>
        <v>FMCGL</v>
      </c>
    </row>
    <row r="62" spans="1:7" x14ac:dyDescent="0.35">
      <c r="A62" t="s">
        <v>3192</v>
      </c>
      <c r="B62" t="s">
        <v>3196</v>
      </c>
      <c r="C62" t="s">
        <v>3147</v>
      </c>
      <c r="D62" t="s">
        <v>838</v>
      </c>
      <c r="E62" t="s">
        <v>18</v>
      </c>
      <c r="F62" t="s">
        <v>839</v>
      </c>
      <c r="G62" t="str">
        <f t="shared" si="0"/>
        <v>FMCGL</v>
      </c>
    </row>
    <row r="63" spans="1:7" x14ac:dyDescent="0.35">
      <c r="A63" t="s">
        <v>3192</v>
      </c>
      <c r="B63" t="s">
        <v>3197</v>
      </c>
      <c r="C63" t="s">
        <v>3147</v>
      </c>
      <c r="D63" t="s">
        <v>1037</v>
      </c>
      <c r="E63" t="s">
        <v>18</v>
      </c>
      <c r="F63" t="s">
        <v>1038</v>
      </c>
      <c r="G63" t="str">
        <f t="shared" si="0"/>
        <v>FMCGL</v>
      </c>
    </row>
    <row r="64" spans="1:7" x14ac:dyDescent="0.35">
      <c r="A64" t="s">
        <v>3192</v>
      </c>
      <c r="B64" t="s">
        <v>3198</v>
      </c>
      <c r="C64" t="s">
        <v>3147</v>
      </c>
      <c r="D64" t="s">
        <v>1039</v>
      </c>
      <c r="E64" t="s">
        <v>18</v>
      </c>
      <c r="F64" t="s">
        <v>1040</v>
      </c>
      <c r="G64" t="str">
        <f t="shared" si="0"/>
        <v>FMCGL</v>
      </c>
    </row>
    <row r="65" spans="1:16" x14ac:dyDescent="0.35">
      <c r="A65" t="s">
        <v>3192</v>
      </c>
      <c r="B65" t="s">
        <v>3199</v>
      </c>
      <c r="C65" t="s">
        <v>3147</v>
      </c>
      <c r="D65" t="s">
        <v>43</v>
      </c>
      <c r="E65" t="s">
        <v>18</v>
      </c>
      <c r="F65" t="s">
        <v>1204</v>
      </c>
      <c r="G65" t="str">
        <f t="shared" si="0"/>
        <v>FMCGL</v>
      </c>
    </row>
    <row r="66" spans="1:16" x14ac:dyDescent="0.35">
      <c r="A66" t="s">
        <v>3192</v>
      </c>
      <c r="B66" t="s">
        <v>3200</v>
      </c>
      <c r="C66" t="s">
        <v>3147</v>
      </c>
      <c r="D66" t="s">
        <v>48</v>
      </c>
      <c r="E66" t="s">
        <v>18</v>
      </c>
      <c r="F66" t="s">
        <v>1415</v>
      </c>
      <c r="G66" t="str">
        <f t="shared" si="0"/>
        <v>FMCGL</v>
      </c>
    </row>
    <row r="67" spans="1:16" x14ac:dyDescent="0.35">
      <c r="A67" t="s">
        <v>3192</v>
      </c>
      <c r="B67" t="s">
        <v>3201</v>
      </c>
      <c r="C67" t="s">
        <v>3147</v>
      </c>
      <c r="D67" t="s">
        <v>1515</v>
      </c>
      <c r="E67" t="s">
        <v>18</v>
      </c>
      <c r="F67" t="s">
        <v>1516</v>
      </c>
      <c r="G67" t="str">
        <f t="shared" ref="G67:G130" si="1">IF(UPPER(LEFT(A67,5))= "FINAN","BANKL",UPPER(LEFT(A67,5)))</f>
        <v>FMCGL</v>
      </c>
    </row>
    <row r="68" spans="1:16" s="16" customFormat="1" x14ac:dyDescent="0.35">
      <c r="A68" t="s">
        <v>3192</v>
      </c>
      <c r="B68" t="s">
        <v>3202</v>
      </c>
      <c r="C68" t="s">
        <v>3147</v>
      </c>
      <c r="D68" t="s">
        <v>50</v>
      </c>
      <c r="E68" t="s">
        <v>18</v>
      </c>
      <c r="F68" t="s">
        <v>1795</v>
      </c>
      <c r="G68" t="str">
        <f t="shared" si="1"/>
        <v>FMCGL</v>
      </c>
      <c r="H68"/>
      <c r="K68"/>
      <c r="P68"/>
    </row>
    <row r="69" spans="1:16" x14ac:dyDescent="0.35">
      <c r="A69" t="s">
        <v>3192</v>
      </c>
      <c r="B69" t="s">
        <v>3203</v>
      </c>
      <c r="C69" t="s">
        <v>3147</v>
      </c>
      <c r="D69" t="s">
        <v>1972</v>
      </c>
      <c r="E69" t="s">
        <v>18</v>
      </c>
      <c r="F69" t="s">
        <v>1973</v>
      </c>
      <c r="G69" t="str">
        <f t="shared" si="1"/>
        <v>FMCGL</v>
      </c>
    </row>
    <row r="70" spans="1:16" x14ac:dyDescent="0.35">
      <c r="A70" t="s">
        <v>3192</v>
      </c>
      <c r="B70" t="s">
        <v>3204</v>
      </c>
      <c r="C70" t="s">
        <v>3147</v>
      </c>
      <c r="D70" t="s">
        <v>2159</v>
      </c>
      <c r="E70" t="s">
        <v>18</v>
      </c>
      <c r="F70" t="s">
        <v>2160</v>
      </c>
      <c r="G70" t="str">
        <f t="shared" si="1"/>
        <v>FMCGL</v>
      </c>
    </row>
    <row r="71" spans="1:16" x14ac:dyDescent="0.35">
      <c r="A71" t="s">
        <v>3192</v>
      </c>
      <c r="B71" t="s">
        <v>3205</v>
      </c>
      <c r="C71" t="s">
        <v>3147</v>
      </c>
      <c r="D71" t="s">
        <v>2746</v>
      </c>
      <c r="E71" t="s">
        <v>18</v>
      </c>
      <c r="F71" t="s">
        <v>2747</v>
      </c>
      <c r="G71" t="str">
        <f t="shared" si="1"/>
        <v>FMCGL</v>
      </c>
    </row>
    <row r="72" spans="1:16" x14ac:dyDescent="0.35">
      <c r="A72" t="s">
        <v>3192</v>
      </c>
      <c r="B72" t="s">
        <v>3206</v>
      </c>
      <c r="C72" t="s">
        <v>3147</v>
      </c>
      <c r="D72" t="s">
        <v>2899</v>
      </c>
      <c r="E72" t="s">
        <v>18</v>
      </c>
      <c r="F72" t="s">
        <v>2900</v>
      </c>
      <c r="G72" t="str">
        <f t="shared" si="1"/>
        <v>FMCGL</v>
      </c>
    </row>
    <row r="73" spans="1:16" x14ac:dyDescent="0.35">
      <c r="A73" t="s">
        <v>3192</v>
      </c>
      <c r="B73" t="s">
        <v>3207</v>
      </c>
      <c r="C73" t="s">
        <v>3147</v>
      </c>
      <c r="D73" t="s">
        <v>1815</v>
      </c>
      <c r="E73" t="s">
        <v>18</v>
      </c>
      <c r="F73" t="s">
        <v>1816</v>
      </c>
      <c r="G73" t="str">
        <f t="shared" si="1"/>
        <v>FMCGL</v>
      </c>
    </row>
    <row r="74" spans="1:16" x14ac:dyDescent="0.35">
      <c r="A74" t="s">
        <v>3208</v>
      </c>
      <c r="B74" t="s">
        <v>3209</v>
      </c>
      <c r="C74" t="s">
        <v>3210</v>
      </c>
      <c r="D74" t="s">
        <v>1148</v>
      </c>
      <c r="E74" t="s">
        <v>18</v>
      </c>
      <c r="F74" t="s">
        <v>1149</v>
      </c>
      <c r="G74" t="str">
        <f t="shared" si="1"/>
        <v>ITLIS</v>
      </c>
    </row>
    <row r="75" spans="1:16" s="16" customFormat="1" x14ac:dyDescent="0.35">
      <c r="A75" t="s">
        <v>3208</v>
      </c>
      <c r="B75" t="s">
        <v>3211</v>
      </c>
      <c r="C75" t="s">
        <v>3210</v>
      </c>
      <c r="D75" t="s">
        <v>1174</v>
      </c>
      <c r="E75" t="s">
        <v>18</v>
      </c>
      <c r="F75" t="s">
        <v>1175</v>
      </c>
      <c r="G75" t="str">
        <f t="shared" si="1"/>
        <v>ITLIS</v>
      </c>
      <c r="H75"/>
      <c r="P75"/>
    </row>
    <row r="76" spans="1:16" x14ac:dyDescent="0.35">
      <c r="A76" t="s">
        <v>3208</v>
      </c>
      <c r="B76" t="s">
        <v>3212</v>
      </c>
      <c r="C76" t="s">
        <v>3210</v>
      </c>
      <c r="D76" t="s">
        <v>47</v>
      </c>
      <c r="E76" t="s">
        <v>18</v>
      </c>
      <c r="F76" t="s">
        <v>1380</v>
      </c>
      <c r="G76" t="str">
        <f t="shared" si="1"/>
        <v>ITLIS</v>
      </c>
    </row>
    <row r="77" spans="1:16" x14ac:dyDescent="0.35">
      <c r="A77" t="s">
        <v>3208</v>
      </c>
      <c r="B77" t="s">
        <v>3213</v>
      </c>
      <c r="C77" t="s">
        <v>3210</v>
      </c>
      <c r="D77" t="s">
        <v>1523</v>
      </c>
      <c r="E77" t="s">
        <v>18</v>
      </c>
      <c r="F77" t="s">
        <v>1524</v>
      </c>
      <c r="G77" t="str">
        <f t="shared" si="1"/>
        <v>ITLIS</v>
      </c>
    </row>
    <row r="78" spans="1:16" x14ac:dyDescent="0.35">
      <c r="A78" t="s">
        <v>3208</v>
      </c>
      <c r="B78" t="s">
        <v>3214</v>
      </c>
      <c r="C78" t="s">
        <v>3210</v>
      </c>
      <c r="D78" t="s">
        <v>1845</v>
      </c>
      <c r="E78" t="s">
        <v>18</v>
      </c>
      <c r="F78" t="s">
        <v>1846</v>
      </c>
      <c r="G78" t="str">
        <f t="shared" si="1"/>
        <v>ITLIS</v>
      </c>
    </row>
    <row r="79" spans="1:16" x14ac:dyDescent="0.35">
      <c r="A79" t="s">
        <v>3208</v>
      </c>
      <c r="B79" t="s">
        <v>3215</v>
      </c>
      <c r="C79" t="s">
        <v>3210</v>
      </c>
      <c r="D79" t="s">
        <v>2008</v>
      </c>
      <c r="E79" t="s">
        <v>18</v>
      </c>
      <c r="F79" t="s">
        <v>2009</v>
      </c>
      <c r="G79" t="str">
        <f t="shared" si="1"/>
        <v>ITLIS</v>
      </c>
    </row>
    <row r="80" spans="1:16" x14ac:dyDescent="0.35">
      <c r="A80" t="s">
        <v>3208</v>
      </c>
      <c r="B80" t="s">
        <v>3216</v>
      </c>
      <c r="C80" t="s">
        <v>3210</v>
      </c>
      <c r="D80" t="s">
        <v>2779</v>
      </c>
      <c r="E80" t="s">
        <v>18</v>
      </c>
      <c r="F80" t="s">
        <v>2780</v>
      </c>
      <c r="G80" t="str">
        <f t="shared" si="1"/>
        <v>ITLIS</v>
      </c>
    </row>
    <row r="81" spans="1:16" x14ac:dyDescent="0.35">
      <c r="A81" t="s">
        <v>3208</v>
      </c>
      <c r="B81" t="s">
        <v>3217</v>
      </c>
      <c r="C81" t="s">
        <v>3210</v>
      </c>
      <c r="D81" t="s">
        <v>2748</v>
      </c>
      <c r="E81" t="s">
        <v>18</v>
      </c>
      <c r="F81" t="s">
        <v>2749</v>
      </c>
      <c r="G81" t="str">
        <f t="shared" si="1"/>
        <v>ITLIS</v>
      </c>
    </row>
    <row r="82" spans="1:16" x14ac:dyDescent="0.35">
      <c r="A82" t="s">
        <v>3208</v>
      </c>
      <c r="B82" t="s">
        <v>3218</v>
      </c>
      <c r="C82" t="s">
        <v>3210</v>
      </c>
      <c r="D82" t="s">
        <v>2785</v>
      </c>
      <c r="E82" t="s">
        <v>18</v>
      </c>
      <c r="F82" t="s">
        <v>2786</v>
      </c>
      <c r="G82" t="str">
        <f t="shared" si="1"/>
        <v>ITLIS</v>
      </c>
    </row>
    <row r="83" spans="1:16" x14ac:dyDescent="0.35">
      <c r="A83" t="s">
        <v>3208</v>
      </c>
      <c r="B83" t="s">
        <v>3219</v>
      </c>
      <c r="C83" t="s">
        <v>3210</v>
      </c>
      <c r="D83" t="s">
        <v>3074</v>
      </c>
      <c r="E83" t="s">
        <v>18</v>
      </c>
      <c r="F83" t="s">
        <v>3075</v>
      </c>
      <c r="G83" t="str">
        <f t="shared" si="1"/>
        <v>ITLIS</v>
      </c>
    </row>
    <row r="84" spans="1:16" x14ac:dyDescent="0.35">
      <c r="A84" t="s">
        <v>3220</v>
      </c>
      <c r="B84" t="s">
        <v>3221</v>
      </c>
      <c r="C84" t="s">
        <v>3222</v>
      </c>
      <c r="D84" t="s">
        <v>384</v>
      </c>
      <c r="E84" t="s">
        <v>18</v>
      </c>
      <c r="F84" t="s">
        <v>385</v>
      </c>
      <c r="G84" t="str">
        <f t="shared" si="1"/>
        <v>MEDIA</v>
      </c>
    </row>
    <row r="85" spans="1:16" x14ac:dyDescent="0.35">
      <c r="A85" t="s">
        <v>3220</v>
      </c>
      <c r="B85" t="s">
        <v>3223</v>
      </c>
      <c r="C85" t="s">
        <v>3222</v>
      </c>
      <c r="D85" t="s">
        <v>708</v>
      </c>
      <c r="E85" t="s">
        <v>18</v>
      </c>
      <c r="F85" t="s">
        <v>709</v>
      </c>
      <c r="G85" t="str">
        <f t="shared" si="1"/>
        <v>MEDIA</v>
      </c>
    </row>
    <row r="86" spans="1:16" x14ac:dyDescent="0.35">
      <c r="A86" t="s">
        <v>3220</v>
      </c>
      <c r="B86" t="s">
        <v>3224</v>
      </c>
      <c r="C86" t="s">
        <v>3222</v>
      </c>
      <c r="D86" t="s">
        <v>763</v>
      </c>
      <c r="E86" t="s">
        <v>18</v>
      </c>
      <c r="F86" t="s">
        <v>764</v>
      </c>
      <c r="G86" t="str">
        <f t="shared" si="1"/>
        <v>MEDIA</v>
      </c>
    </row>
    <row r="87" spans="1:16" x14ac:dyDescent="0.35">
      <c r="A87" t="s">
        <v>3220</v>
      </c>
      <c r="B87" t="s">
        <v>3225</v>
      </c>
      <c r="C87" t="s">
        <v>3222</v>
      </c>
      <c r="D87" t="s">
        <v>1383</v>
      </c>
      <c r="E87" t="s">
        <v>18</v>
      </c>
      <c r="F87" t="s">
        <v>1384</v>
      </c>
      <c r="G87" t="str">
        <f t="shared" si="1"/>
        <v>MEDIA</v>
      </c>
    </row>
    <row r="88" spans="1:16" x14ac:dyDescent="0.35">
      <c r="A88" t="s">
        <v>3220</v>
      </c>
      <c r="B88" t="s">
        <v>3226</v>
      </c>
      <c r="C88" t="s">
        <v>3222</v>
      </c>
      <c r="D88" t="s">
        <v>1432</v>
      </c>
      <c r="E88" t="s">
        <v>18</v>
      </c>
      <c r="F88" t="s">
        <v>1433</v>
      </c>
      <c r="G88" t="str">
        <f t="shared" si="1"/>
        <v>MEDIA</v>
      </c>
    </row>
    <row r="89" spans="1:16" x14ac:dyDescent="0.35">
      <c r="A89" t="s">
        <v>3220</v>
      </c>
      <c r="B89" t="s">
        <v>3227</v>
      </c>
      <c r="C89" t="s">
        <v>3222</v>
      </c>
      <c r="D89" t="s">
        <v>1519</v>
      </c>
      <c r="E89" t="s">
        <v>18</v>
      </c>
      <c r="F89" t="s">
        <v>1520</v>
      </c>
      <c r="G89" t="str">
        <f t="shared" si="1"/>
        <v>MEDIA</v>
      </c>
    </row>
    <row r="90" spans="1:16" x14ac:dyDescent="0.35">
      <c r="A90" t="s">
        <v>3220</v>
      </c>
      <c r="B90" t="s">
        <v>3228</v>
      </c>
      <c r="C90" t="s">
        <v>3222</v>
      </c>
      <c r="D90" t="s">
        <v>1988</v>
      </c>
      <c r="E90" t="s">
        <v>18</v>
      </c>
      <c r="F90" t="s">
        <v>1989</v>
      </c>
      <c r="G90" t="str">
        <f t="shared" si="1"/>
        <v>MEDIA</v>
      </c>
    </row>
    <row r="91" spans="1:16" s="16" customFormat="1" x14ac:dyDescent="0.35">
      <c r="A91" t="s">
        <v>3220</v>
      </c>
      <c r="B91" t="s">
        <v>3229</v>
      </c>
      <c r="C91" t="s">
        <v>3222</v>
      </c>
      <c r="D91" t="s">
        <v>2268</v>
      </c>
      <c r="E91" t="s">
        <v>18</v>
      </c>
      <c r="F91" t="s">
        <v>2269</v>
      </c>
      <c r="G91" t="str">
        <f t="shared" si="1"/>
        <v>MEDIA</v>
      </c>
      <c r="H91"/>
      <c r="P91"/>
    </row>
    <row r="92" spans="1:16" x14ac:dyDescent="0.35">
      <c r="A92" t="s">
        <v>3220</v>
      </c>
      <c r="B92" t="s">
        <v>3230</v>
      </c>
      <c r="C92" t="s">
        <v>3222</v>
      </c>
      <c r="D92" t="s">
        <v>2444</v>
      </c>
      <c r="E92" t="s">
        <v>18</v>
      </c>
      <c r="F92" t="s">
        <v>2445</v>
      </c>
      <c r="G92" t="str">
        <f t="shared" si="1"/>
        <v>MEDIA</v>
      </c>
    </row>
    <row r="93" spans="1:16" x14ac:dyDescent="0.35">
      <c r="A93" t="s">
        <v>3220</v>
      </c>
      <c r="B93" t="s">
        <v>3231</v>
      </c>
      <c r="C93" t="s">
        <v>3222</v>
      </c>
      <c r="D93" t="s">
        <v>2688</v>
      </c>
      <c r="E93" t="s">
        <v>18</v>
      </c>
      <c r="F93" t="s">
        <v>2689</v>
      </c>
      <c r="G93" t="str">
        <f t="shared" si="1"/>
        <v>MEDIA</v>
      </c>
    </row>
    <row r="94" spans="1:16" x14ac:dyDescent="0.35">
      <c r="A94" t="s">
        <v>3220</v>
      </c>
      <c r="B94" t="s">
        <v>3232</v>
      </c>
      <c r="C94" t="s">
        <v>3222</v>
      </c>
      <c r="D94" t="s">
        <v>2893</v>
      </c>
      <c r="E94" t="s">
        <v>18</v>
      </c>
      <c r="F94" t="s">
        <v>2894</v>
      </c>
      <c r="G94" t="str">
        <f t="shared" si="1"/>
        <v>MEDIA</v>
      </c>
    </row>
    <row r="95" spans="1:16" x14ac:dyDescent="0.35">
      <c r="A95" t="s">
        <v>3220</v>
      </c>
      <c r="B95" t="s">
        <v>3233</v>
      </c>
      <c r="C95" t="s">
        <v>3222</v>
      </c>
      <c r="D95" t="s">
        <v>2885</v>
      </c>
      <c r="E95" t="s">
        <v>18</v>
      </c>
      <c r="F95" t="s">
        <v>2886</v>
      </c>
      <c r="G95" t="str">
        <f t="shared" si="1"/>
        <v>MEDIA</v>
      </c>
    </row>
    <row r="96" spans="1:16" x14ac:dyDescent="0.35">
      <c r="A96" t="s">
        <v>3220</v>
      </c>
      <c r="B96" t="s">
        <v>3234</v>
      </c>
      <c r="C96" t="s">
        <v>3222</v>
      </c>
      <c r="D96" t="s">
        <v>3092</v>
      </c>
      <c r="E96" t="s">
        <v>18</v>
      </c>
      <c r="F96" t="s">
        <v>3093</v>
      </c>
      <c r="G96" t="str">
        <f t="shared" si="1"/>
        <v>MEDIA</v>
      </c>
    </row>
    <row r="97" spans="1:7" x14ac:dyDescent="0.35">
      <c r="A97" t="s">
        <v>3220</v>
      </c>
      <c r="B97" t="s">
        <v>3235</v>
      </c>
      <c r="C97" t="s">
        <v>3222</v>
      </c>
      <c r="D97" t="s">
        <v>3096</v>
      </c>
      <c r="E97" t="s">
        <v>18</v>
      </c>
      <c r="F97" t="s">
        <v>3097</v>
      </c>
      <c r="G97" t="str">
        <f t="shared" si="1"/>
        <v>MEDIA</v>
      </c>
    </row>
    <row r="98" spans="1:7" x14ac:dyDescent="0.35">
      <c r="A98" t="s">
        <v>3236</v>
      </c>
      <c r="B98" t="s">
        <v>3237</v>
      </c>
      <c r="C98" t="s">
        <v>3238</v>
      </c>
      <c r="D98" t="s">
        <v>252</v>
      </c>
      <c r="E98" t="s">
        <v>18</v>
      </c>
      <c r="F98" t="s">
        <v>253</v>
      </c>
      <c r="G98" t="str">
        <f t="shared" si="1"/>
        <v>METAL</v>
      </c>
    </row>
    <row r="99" spans="1:7" x14ac:dyDescent="0.35">
      <c r="A99" t="s">
        <v>3236</v>
      </c>
      <c r="B99" t="s">
        <v>3239</v>
      </c>
      <c r="C99" t="s">
        <v>3238</v>
      </c>
      <c r="D99" t="s">
        <v>640</v>
      </c>
      <c r="E99" t="s">
        <v>18</v>
      </c>
      <c r="F99" t="s">
        <v>641</v>
      </c>
      <c r="G99" t="str">
        <f t="shared" si="1"/>
        <v>METAL</v>
      </c>
    </row>
    <row r="100" spans="1:7" x14ac:dyDescent="0.35">
      <c r="A100" t="s">
        <v>3236</v>
      </c>
      <c r="B100" t="s">
        <v>3240</v>
      </c>
      <c r="C100" t="s">
        <v>3238</v>
      </c>
      <c r="D100" t="s">
        <v>1190</v>
      </c>
      <c r="E100" t="s">
        <v>18</v>
      </c>
      <c r="F100" t="s">
        <v>1191</v>
      </c>
      <c r="G100" t="str">
        <f t="shared" si="1"/>
        <v>METAL</v>
      </c>
    </row>
    <row r="101" spans="1:7" x14ac:dyDescent="0.35">
      <c r="A101" t="s">
        <v>3236</v>
      </c>
      <c r="B101" t="s">
        <v>3241</v>
      </c>
      <c r="C101" t="s">
        <v>3238</v>
      </c>
      <c r="D101" t="s">
        <v>1194</v>
      </c>
      <c r="E101" t="s">
        <v>18</v>
      </c>
      <c r="F101" t="s">
        <v>1195</v>
      </c>
      <c r="G101" t="str">
        <f t="shared" si="1"/>
        <v>METAL</v>
      </c>
    </row>
    <row r="102" spans="1:7" x14ac:dyDescent="0.35">
      <c r="A102" t="s">
        <v>3236</v>
      </c>
      <c r="B102" t="s">
        <v>3242</v>
      </c>
      <c r="C102" t="s">
        <v>3238</v>
      </c>
      <c r="D102" t="s">
        <v>44</v>
      </c>
      <c r="E102" t="s">
        <v>18</v>
      </c>
      <c r="F102" t="s">
        <v>1205</v>
      </c>
      <c r="G102" t="str">
        <f t="shared" si="1"/>
        <v>METAL</v>
      </c>
    </row>
    <row r="103" spans="1:7" x14ac:dyDescent="0.35">
      <c r="A103" t="s">
        <v>3236</v>
      </c>
      <c r="B103" t="s">
        <v>3243</v>
      </c>
      <c r="C103" t="s">
        <v>3238</v>
      </c>
      <c r="D103" t="s">
        <v>1509</v>
      </c>
      <c r="E103" t="s">
        <v>18</v>
      </c>
      <c r="F103" t="s">
        <v>1510</v>
      </c>
      <c r="G103" t="str">
        <f t="shared" si="1"/>
        <v>METAL</v>
      </c>
    </row>
    <row r="104" spans="1:7" x14ac:dyDescent="0.35">
      <c r="A104" t="s">
        <v>3236</v>
      </c>
      <c r="B104" t="s">
        <v>3244</v>
      </c>
      <c r="C104" t="s">
        <v>3238</v>
      </c>
      <c r="D104" t="s">
        <v>49</v>
      </c>
      <c r="E104" t="s">
        <v>18</v>
      </c>
      <c r="F104" t="s">
        <v>1466</v>
      </c>
      <c r="G104" t="str">
        <f t="shared" si="1"/>
        <v>METAL</v>
      </c>
    </row>
    <row r="105" spans="1:7" x14ac:dyDescent="0.35">
      <c r="A105" t="s">
        <v>3236</v>
      </c>
      <c r="B105" t="s">
        <v>3245</v>
      </c>
      <c r="C105" t="s">
        <v>3238</v>
      </c>
      <c r="D105" t="s">
        <v>1861</v>
      </c>
      <c r="E105" t="s">
        <v>18</v>
      </c>
      <c r="F105" t="s">
        <v>1862</v>
      </c>
      <c r="G105" t="str">
        <f t="shared" si="1"/>
        <v>METAL</v>
      </c>
    </row>
    <row r="106" spans="1:7" x14ac:dyDescent="0.35">
      <c r="A106" t="s">
        <v>3236</v>
      </c>
      <c r="B106" t="s">
        <v>3246</v>
      </c>
      <c r="C106" t="s">
        <v>3238</v>
      </c>
      <c r="D106" t="s">
        <v>2024</v>
      </c>
      <c r="E106" t="s">
        <v>18</v>
      </c>
      <c r="F106" t="s">
        <v>2025</v>
      </c>
      <c r="G106" t="str">
        <f t="shared" si="1"/>
        <v>METAL</v>
      </c>
    </row>
    <row r="107" spans="1:7" x14ac:dyDescent="0.35">
      <c r="A107" t="s">
        <v>3236</v>
      </c>
      <c r="B107" t="s">
        <v>3247</v>
      </c>
      <c r="C107" t="s">
        <v>3238</v>
      </c>
      <c r="D107" t="s">
        <v>1934</v>
      </c>
      <c r="E107" t="s">
        <v>18</v>
      </c>
      <c r="F107" t="s">
        <v>1935</v>
      </c>
      <c r="G107" t="str">
        <f t="shared" si="1"/>
        <v>METAL</v>
      </c>
    </row>
    <row r="108" spans="1:7" x14ac:dyDescent="0.35">
      <c r="A108" t="s">
        <v>3236</v>
      </c>
      <c r="B108" t="s">
        <v>3248</v>
      </c>
      <c r="C108" t="s">
        <v>3238</v>
      </c>
      <c r="D108" t="s">
        <v>2314</v>
      </c>
      <c r="E108" t="s">
        <v>18</v>
      </c>
      <c r="F108" t="s">
        <v>2315</v>
      </c>
      <c r="G108" t="str">
        <f t="shared" si="1"/>
        <v>METAL</v>
      </c>
    </row>
    <row r="109" spans="1:7" x14ac:dyDescent="0.35">
      <c r="A109" t="s">
        <v>3236</v>
      </c>
      <c r="B109" t="s">
        <v>3249</v>
      </c>
      <c r="C109" t="s">
        <v>3238</v>
      </c>
      <c r="D109" t="s">
        <v>2410</v>
      </c>
      <c r="E109" t="s">
        <v>18</v>
      </c>
      <c r="F109" t="s">
        <v>2411</v>
      </c>
      <c r="G109" t="str">
        <f t="shared" si="1"/>
        <v>METAL</v>
      </c>
    </row>
    <row r="110" spans="1:7" x14ac:dyDescent="0.35">
      <c r="A110" t="s">
        <v>3236</v>
      </c>
      <c r="B110" t="s">
        <v>3250</v>
      </c>
      <c r="C110" t="s">
        <v>3238</v>
      </c>
      <c r="D110" t="s">
        <v>58</v>
      </c>
      <c r="E110" t="s">
        <v>18</v>
      </c>
      <c r="F110" t="s">
        <v>2760</v>
      </c>
      <c r="G110" t="str">
        <f t="shared" si="1"/>
        <v>METAL</v>
      </c>
    </row>
    <row r="111" spans="1:7" x14ac:dyDescent="0.35">
      <c r="A111" t="s">
        <v>3236</v>
      </c>
      <c r="B111" t="s">
        <v>3251</v>
      </c>
      <c r="C111" t="s">
        <v>3238</v>
      </c>
      <c r="D111" t="s">
        <v>2975</v>
      </c>
      <c r="E111" t="s">
        <v>18</v>
      </c>
      <c r="F111" t="s">
        <v>2976</v>
      </c>
      <c r="G111" t="str">
        <f t="shared" si="1"/>
        <v>METAL</v>
      </c>
    </row>
    <row r="112" spans="1:7" x14ac:dyDescent="0.35">
      <c r="A112" t="s">
        <v>3236</v>
      </c>
      <c r="B112" t="s">
        <v>3252</v>
      </c>
      <c r="C112" t="s">
        <v>3238</v>
      </c>
      <c r="D112" t="s">
        <v>3054</v>
      </c>
      <c r="E112" t="s">
        <v>18</v>
      </c>
      <c r="F112" t="s">
        <v>3055</v>
      </c>
      <c r="G112" t="str">
        <f t="shared" si="1"/>
        <v>METAL</v>
      </c>
    </row>
    <row r="113" spans="1:7" x14ac:dyDescent="0.35">
      <c r="A113" t="s">
        <v>3253</v>
      </c>
      <c r="B113" t="s">
        <v>3254</v>
      </c>
      <c r="C113" t="s">
        <v>3255</v>
      </c>
      <c r="D113" t="s">
        <v>16</v>
      </c>
      <c r="E113" t="s">
        <v>18</v>
      </c>
      <c r="F113" t="s">
        <v>131</v>
      </c>
      <c r="G113" t="str">
        <f t="shared" si="1"/>
        <v>OILGA</v>
      </c>
    </row>
    <row r="114" spans="1:7" x14ac:dyDescent="0.35">
      <c r="A114" t="s">
        <v>3253</v>
      </c>
      <c r="B114" t="s">
        <v>3256</v>
      </c>
      <c r="C114" t="s">
        <v>3255</v>
      </c>
      <c r="D114" t="s">
        <v>154</v>
      </c>
      <c r="E114" t="s">
        <v>18</v>
      </c>
      <c r="F114" t="s">
        <v>155</v>
      </c>
      <c r="G114" t="str">
        <f t="shared" si="1"/>
        <v>OILGA</v>
      </c>
    </row>
    <row r="115" spans="1:7" x14ac:dyDescent="0.35">
      <c r="A115" t="s">
        <v>3253</v>
      </c>
      <c r="B115" t="s">
        <v>3257</v>
      </c>
      <c r="C115" t="s">
        <v>3255</v>
      </c>
      <c r="D115" t="s">
        <v>510</v>
      </c>
      <c r="E115" t="s">
        <v>18</v>
      </c>
      <c r="F115" t="s">
        <v>511</v>
      </c>
      <c r="G115" t="str">
        <f t="shared" si="1"/>
        <v>OILGA</v>
      </c>
    </row>
    <row r="116" spans="1:7" x14ac:dyDescent="0.35">
      <c r="A116" t="s">
        <v>3253</v>
      </c>
      <c r="B116" t="s">
        <v>3258</v>
      </c>
      <c r="C116" t="s">
        <v>3255</v>
      </c>
      <c r="D116" t="s">
        <v>566</v>
      </c>
      <c r="E116" t="s">
        <v>18</v>
      </c>
      <c r="F116" t="s">
        <v>567</v>
      </c>
      <c r="G116" t="str">
        <f t="shared" si="1"/>
        <v>OILGA</v>
      </c>
    </row>
    <row r="117" spans="1:7" x14ac:dyDescent="0.35">
      <c r="A117" t="s">
        <v>3253</v>
      </c>
      <c r="B117" t="s">
        <v>3259</v>
      </c>
      <c r="C117" t="s">
        <v>3255</v>
      </c>
      <c r="D117" t="s">
        <v>941</v>
      </c>
      <c r="E117" t="s">
        <v>18</v>
      </c>
      <c r="F117" t="s">
        <v>942</v>
      </c>
      <c r="G117" t="str">
        <f t="shared" si="1"/>
        <v>OILGA</v>
      </c>
    </row>
    <row r="118" spans="1:7" x14ac:dyDescent="0.35">
      <c r="A118" t="s">
        <v>3253</v>
      </c>
      <c r="B118" t="s">
        <v>3260</v>
      </c>
      <c r="C118" t="s">
        <v>3255</v>
      </c>
      <c r="D118" t="s">
        <v>1116</v>
      </c>
      <c r="E118" t="s">
        <v>18</v>
      </c>
      <c r="F118" t="s">
        <v>1117</v>
      </c>
      <c r="G118" t="str">
        <f t="shared" si="1"/>
        <v>OILGA</v>
      </c>
    </row>
    <row r="119" spans="1:7" x14ac:dyDescent="0.35">
      <c r="A119" t="s">
        <v>3253</v>
      </c>
      <c r="B119" t="s">
        <v>3261</v>
      </c>
      <c r="C119" t="s">
        <v>3255</v>
      </c>
      <c r="D119" t="s">
        <v>1096</v>
      </c>
      <c r="E119" t="s">
        <v>18</v>
      </c>
      <c r="F119" t="s">
        <v>1097</v>
      </c>
      <c r="G119" t="str">
        <f t="shared" si="1"/>
        <v>OILGA</v>
      </c>
    </row>
    <row r="120" spans="1:7" x14ac:dyDescent="0.35">
      <c r="A120" t="s">
        <v>3253</v>
      </c>
      <c r="B120" t="s">
        <v>3262</v>
      </c>
      <c r="C120" t="s">
        <v>3255</v>
      </c>
      <c r="D120" t="s">
        <v>1202</v>
      </c>
      <c r="E120" t="s">
        <v>18</v>
      </c>
      <c r="F120" t="s">
        <v>1203</v>
      </c>
      <c r="G120" t="str">
        <f t="shared" si="1"/>
        <v>OILGA</v>
      </c>
    </row>
    <row r="121" spans="1:7" x14ac:dyDescent="0.35">
      <c r="A121" t="s">
        <v>3253</v>
      </c>
      <c r="B121" t="s">
        <v>3263</v>
      </c>
      <c r="C121" t="s">
        <v>3255</v>
      </c>
      <c r="D121" t="s">
        <v>1399</v>
      </c>
      <c r="E121" t="s">
        <v>18</v>
      </c>
      <c r="F121" t="s">
        <v>1400</v>
      </c>
      <c r="G121" t="str">
        <f t="shared" si="1"/>
        <v>OILGA</v>
      </c>
    </row>
    <row r="122" spans="1:7" x14ac:dyDescent="0.35">
      <c r="A122" t="s">
        <v>3253</v>
      </c>
      <c r="B122" t="s">
        <v>3264</v>
      </c>
      <c r="C122" t="s">
        <v>3255</v>
      </c>
      <c r="D122" t="s">
        <v>1314</v>
      </c>
      <c r="E122" t="s">
        <v>18</v>
      </c>
      <c r="F122" t="s">
        <v>1315</v>
      </c>
      <c r="G122" t="str">
        <f t="shared" si="1"/>
        <v>OILGA</v>
      </c>
    </row>
    <row r="123" spans="1:7" x14ac:dyDescent="0.35">
      <c r="A123" t="s">
        <v>3253</v>
      </c>
      <c r="B123" t="s">
        <v>3265</v>
      </c>
      <c r="C123" t="s">
        <v>3255</v>
      </c>
      <c r="D123" t="s">
        <v>1831</v>
      </c>
      <c r="E123" t="s">
        <v>18</v>
      </c>
      <c r="F123" t="s">
        <v>1832</v>
      </c>
      <c r="G123" t="str">
        <f t="shared" si="1"/>
        <v>OILGA</v>
      </c>
    </row>
    <row r="124" spans="1:7" x14ac:dyDescent="0.35">
      <c r="A124" t="s">
        <v>3253</v>
      </c>
      <c r="B124" t="s">
        <v>3266</v>
      </c>
      <c r="C124" t="s">
        <v>3255</v>
      </c>
      <c r="D124" t="s">
        <v>2069</v>
      </c>
      <c r="E124" t="s">
        <v>18</v>
      </c>
      <c r="F124" t="s">
        <v>2070</v>
      </c>
      <c r="G124" t="str">
        <f t="shared" si="1"/>
        <v>OILGA</v>
      </c>
    </row>
    <row r="125" spans="1:7" x14ac:dyDescent="0.35">
      <c r="A125" t="s">
        <v>3253</v>
      </c>
      <c r="B125" t="s">
        <v>3267</v>
      </c>
      <c r="C125" t="s">
        <v>3255</v>
      </c>
      <c r="D125" t="s">
        <v>2051</v>
      </c>
      <c r="E125" t="s">
        <v>18</v>
      </c>
      <c r="F125" t="s">
        <v>2052</v>
      </c>
      <c r="G125" t="str">
        <f t="shared" si="1"/>
        <v>OILGA</v>
      </c>
    </row>
    <row r="126" spans="1:7" x14ac:dyDescent="0.35">
      <c r="A126" t="s">
        <v>3253</v>
      </c>
      <c r="B126" t="s">
        <v>3268</v>
      </c>
      <c r="C126" t="s">
        <v>3255</v>
      </c>
      <c r="D126" t="s">
        <v>2147</v>
      </c>
      <c r="E126" t="s">
        <v>18</v>
      </c>
      <c r="F126" t="s">
        <v>2148</v>
      </c>
      <c r="G126" t="str">
        <f t="shared" si="1"/>
        <v>OILGA</v>
      </c>
    </row>
    <row r="127" spans="1:7" x14ac:dyDescent="0.35">
      <c r="A127" t="s">
        <v>3253</v>
      </c>
      <c r="B127" t="s">
        <v>3269</v>
      </c>
      <c r="C127" t="s">
        <v>3255</v>
      </c>
      <c r="D127" t="s">
        <v>2332</v>
      </c>
      <c r="E127" t="s">
        <v>18</v>
      </c>
      <c r="F127" t="s">
        <v>2333</v>
      </c>
      <c r="G127" t="str">
        <f t="shared" si="1"/>
        <v>OILGA</v>
      </c>
    </row>
    <row r="128" spans="1:7" x14ac:dyDescent="0.35">
      <c r="A128" t="s">
        <v>3270</v>
      </c>
      <c r="B128" t="s">
        <v>3271</v>
      </c>
      <c r="C128" t="s">
        <v>3272</v>
      </c>
      <c r="D128" t="s">
        <v>345</v>
      </c>
      <c r="E128" t="s">
        <v>18</v>
      </c>
      <c r="F128" t="s">
        <v>346</v>
      </c>
      <c r="G128" t="str">
        <f t="shared" si="1"/>
        <v>PHARM</v>
      </c>
    </row>
    <row r="129" spans="1:16" x14ac:dyDescent="0.35">
      <c r="A129" t="s">
        <v>3270</v>
      </c>
      <c r="B129" t="s">
        <v>3273</v>
      </c>
      <c r="C129" t="s">
        <v>3272</v>
      </c>
      <c r="D129" t="s">
        <v>478</v>
      </c>
      <c r="E129" t="s">
        <v>18</v>
      </c>
      <c r="F129" t="s">
        <v>479</v>
      </c>
      <c r="G129" t="str">
        <f t="shared" si="1"/>
        <v>PHARM</v>
      </c>
    </row>
    <row r="130" spans="1:16" x14ac:dyDescent="0.35">
      <c r="A130" t="s">
        <v>3270</v>
      </c>
      <c r="B130" t="s">
        <v>3274</v>
      </c>
      <c r="C130" t="s">
        <v>3272</v>
      </c>
      <c r="D130" t="s">
        <v>540</v>
      </c>
      <c r="E130" t="s">
        <v>18</v>
      </c>
      <c r="F130" t="s">
        <v>541</v>
      </c>
      <c r="G130" t="str">
        <f t="shared" si="1"/>
        <v>PHARM</v>
      </c>
    </row>
    <row r="131" spans="1:16" x14ac:dyDescent="0.35">
      <c r="A131" t="s">
        <v>3270</v>
      </c>
      <c r="B131" t="s">
        <v>3275</v>
      </c>
      <c r="C131" t="s">
        <v>3272</v>
      </c>
      <c r="D131" t="s">
        <v>630</v>
      </c>
      <c r="E131" t="s">
        <v>18</v>
      </c>
      <c r="F131" t="s">
        <v>631</v>
      </c>
      <c r="G131" t="str">
        <f t="shared" ref="G131:G158" si="2">IF(UPPER(LEFT(A131,5))= "FINAN","BANKL",UPPER(LEFT(A131,5)))</f>
        <v>PHARM</v>
      </c>
    </row>
    <row r="132" spans="1:16" x14ac:dyDescent="0.35">
      <c r="A132" t="s">
        <v>3270</v>
      </c>
      <c r="B132" t="s">
        <v>3276</v>
      </c>
      <c r="C132" t="s">
        <v>3272</v>
      </c>
      <c r="D132" t="s">
        <v>37</v>
      </c>
      <c r="E132" t="s">
        <v>18</v>
      </c>
      <c r="F132" t="s">
        <v>765</v>
      </c>
      <c r="G132" t="str">
        <f t="shared" si="2"/>
        <v>PHARM</v>
      </c>
    </row>
    <row r="133" spans="1:16" x14ac:dyDescent="0.35">
      <c r="A133" t="s">
        <v>3270</v>
      </c>
      <c r="B133" t="s">
        <v>3277</v>
      </c>
      <c r="C133" t="s">
        <v>3272</v>
      </c>
      <c r="D133" t="s">
        <v>788</v>
      </c>
      <c r="E133" t="s">
        <v>18</v>
      </c>
      <c r="F133" t="s">
        <v>789</v>
      </c>
      <c r="G133" t="str">
        <f t="shared" si="2"/>
        <v>PHARM</v>
      </c>
    </row>
    <row r="134" spans="1:16" x14ac:dyDescent="0.35">
      <c r="A134" t="s">
        <v>3270</v>
      </c>
      <c r="B134" t="s">
        <v>3278</v>
      </c>
      <c r="C134" t="s">
        <v>3272</v>
      </c>
      <c r="D134" t="s">
        <v>1007</v>
      </c>
      <c r="E134" t="s">
        <v>18</v>
      </c>
      <c r="F134" t="s">
        <v>1008</v>
      </c>
      <c r="G134" t="str">
        <f t="shared" si="2"/>
        <v>PHARM</v>
      </c>
    </row>
    <row r="135" spans="1:16" x14ac:dyDescent="0.35">
      <c r="A135" t="s">
        <v>3270</v>
      </c>
      <c r="B135" t="s">
        <v>3279</v>
      </c>
      <c r="C135" t="s">
        <v>3272</v>
      </c>
      <c r="D135" t="s">
        <v>1711</v>
      </c>
      <c r="E135" t="s">
        <v>18</v>
      </c>
      <c r="F135" t="s">
        <v>1712</v>
      </c>
      <c r="G135" t="str">
        <f t="shared" si="2"/>
        <v>PHARM</v>
      </c>
    </row>
    <row r="136" spans="1:16" x14ac:dyDescent="0.35">
      <c r="A136" t="s">
        <v>3270</v>
      </c>
      <c r="B136" t="s">
        <v>3280</v>
      </c>
      <c r="C136" t="s">
        <v>3164</v>
      </c>
      <c r="D136" t="s">
        <v>2139</v>
      </c>
      <c r="E136" t="s">
        <v>18</v>
      </c>
      <c r="F136" t="s">
        <v>2140</v>
      </c>
      <c r="G136" t="str">
        <f t="shared" si="2"/>
        <v>PHARM</v>
      </c>
    </row>
    <row r="137" spans="1:16" s="16" customFormat="1" x14ac:dyDescent="0.35">
      <c r="A137" t="s">
        <v>3270</v>
      </c>
      <c r="B137" t="s">
        <v>3281</v>
      </c>
      <c r="C137" t="s">
        <v>3272</v>
      </c>
      <c r="D137" t="s">
        <v>57</v>
      </c>
      <c r="E137" t="s">
        <v>18</v>
      </c>
      <c r="F137" t="s">
        <v>2685</v>
      </c>
      <c r="G137" t="str">
        <f t="shared" si="2"/>
        <v>PHARM</v>
      </c>
      <c r="H137"/>
      <c r="P137"/>
    </row>
    <row r="138" spans="1:16" x14ac:dyDescent="0.35">
      <c r="A138" t="s">
        <v>3282</v>
      </c>
      <c r="B138" t="s">
        <v>3283</v>
      </c>
      <c r="C138" t="s">
        <v>3164</v>
      </c>
      <c r="D138" t="s">
        <v>684</v>
      </c>
      <c r="E138" t="s">
        <v>18</v>
      </c>
      <c r="F138" t="s">
        <v>685</v>
      </c>
      <c r="G138" t="str">
        <f t="shared" si="2"/>
        <v>PRIVA</v>
      </c>
    </row>
    <row r="139" spans="1:16" x14ac:dyDescent="0.35">
      <c r="A139" t="s">
        <v>3284</v>
      </c>
      <c r="B139" t="s">
        <v>3285</v>
      </c>
      <c r="C139" t="s">
        <v>3164</v>
      </c>
      <c r="D139" t="s">
        <v>416</v>
      </c>
      <c r="E139" t="s">
        <v>18</v>
      </c>
      <c r="F139" t="s">
        <v>417</v>
      </c>
      <c r="G139" t="str">
        <f t="shared" si="2"/>
        <v>PSUBA</v>
      </c>
    </row>
    <row r="140" spans="1:16" x14ac:dyDescent="0.35">
      <c r="A140" t="s">
        <v>3284</v>
      </c>
      <c r="B140" t="s">
        <v>3286</v>
      </c>
      <c r="C140" t="s">
        <v>3164</v>
      </c>
      <c r="D140" t="s">
        <v>1739</v>
      </c>
      <c r="E140" t="s">
        <v>18</v>
      </c>
      <c r="F140" t="s">
        <v>1740</v>
      </c>
      <c r="G140" t="str">
        <f t="shared" si="2"/>
        <v>PSUBA</v>
      </c>
    </row>
    <row r="141" spans="1:16" x14ac:dyDescent="0.35">
      <c r="A141" t="s">
        <v>3284</v>
      </c>
      <c r="B141" t="s">
        <v>3287</v>
      </c>
      <c r="C141" t="s">
        <v>3164</v>
      </c>
      <c r="D141" t="s">
        <v>546</v>
      </c>
      <c r="E141" t="s">
        <v>18</v>
      </c>
      <c r="F141" t="s">
        <v>547</v>
      </c>
      <c r="G141" t="str">
        <f t="shared" si="2"/>
        <v>PSUBA</v>
      </c>
    </row>
    <row r="142" spans="1:16" x14ac:dyDescent="0.35">
      <c r="A142" t="s">
        <v>3284</v>
      </c>
      <c r="B142" t="s">
        <v>3288</v>
      </c>
      <c r="C142" t="s">
        <v>3164</v>
      </c>
      <c r="D142" t="s">
        <v>584</v>
      </c>
      <c r="E142" t="s">
        <v>18</v>
      </c>
      <c r="F142" t="s">
        <v>585</v>
      </c>
      <c r="G142" t="str">
        <f t="shared" si="2"/>
        <v>PSUBA</v>
      </c>
    </row>
    <row r="143" spans="1:16" x14ac:dyDescent="0.35">
      <c r="A143" t="s">
        <v>3284</v>
      </c>
      <c r="B143" t="s">
        <v>3289</v>
      </c>
      <c r="C143" t="s">
        <v>3164</v>
      </c>
      <c r="D143" t="s">
        <v>1342</v>
      </c>
      <c r="E143" t="s">
        <v>18</v>
      </c>
      <c r="F143" t="s">
        <v>1343</v>
      </c>
      <c r="G143" t="str">
        <f t="shared" si="2"/>
        <v>PSUBA</v>
      </c>
    </row>
    <row r="144" spans="1:16" x14ac:dyDescent="0.35">
      <c r="A144" t="s">
        <v>3284</v>
      </c>
      <c r="B144" t="s">
        <v>3290</v>
      </c>
      <c r="C144" t="s">
        <v>3164</v>
      </c>
      <c r="D144" t="s">
        <v>1397</v>
      </c>
      <c r="E144" t="s">
        <v>18</v>
      </c>
      <c r="F144" t="s">
        <v>1398</v>
      </c>
      <c r="G144" t="str">
        <f t="shared" si="2"/>
        <v>PSUBA</v>
      </c>
    </row>
    <row r="145" spans="1:7" x14ac:dyDescent="0.35">
      <c r="A145" t="s">
        <v>3284</v>
      </c>
      <c r="B145" t="s">
        <v>3291</v>
      </c>
      <c r="C145" t="s">
        <v>3164</v>
      </c>
      <c r="D145" t="s">
        <v>1430</v>
      </c>
      <c r="E145" t="s">
        <v>18</v>
      </c>
      <c r="F145" t="s">
        <v>1431</v>
      </c>
      <c r="G145" t="str">
        <f t="shared" si="2"/>
        <v>PSUBA</v>
      </c>
    </row>
    <row r="146" spans="1:7" x14ac:dyDescent="0.35">
      <c r="A146" t="s">
        <v>3284</v>
      </c>
      <c r="B146" t="s">
        <v>3292</v>
      </c>
      <c r="C146" t="s">
        <v>3164</v>
      </c>
      <c r="D146" t="s">
        <v>2254</v>
      </c>
      <c r="E146" t="s">
        <v>18</v>
      </c>
      <c r="F146" t="s">
        <v>2255</v>
      </c>
      <c r="G146" t="str">
        <f t="shared" si="2"/>
        <v>PSUBA</v>
      </c>
    </row>
    <row r="147" spans="1:7" x14ac:dyDescent="0.35">
      <c r="A147" t="s">
        <v>3284</v>
      </c>
      <c r="B147" t="s">
        <v>3293</v>
      </c>
      <c r="C147" t="s">
        <v>3164</v>
      </c>
      <c r="D147" t="s">
        <v>2903</v>
      </c>
      <c r="E147" t="s">
        <v>18</v>
      </c>
      <c r="F147" t="s">
        <v>2904</v>
      </c>
      <c r="G147" t="str">
        <f t="shared" si="2"/>
        <v>PSUBA</v>
      </c>
    </row>
    <row r="148" spans="1:7" x14ac:dyDescent="0.35">
      <c r="A148" t="s">
        <v>3284</v>
      </c>
      <c r="B148" t="s">
        <v>3294</v>
      </c>
      <c r="C148" t="s">
        <v>3164</v>
      </c>
      <c r="D148" t="s">
        <v>2927</v>
      </c>
      <c r="E148" t="s">
        <v>18</v>
      </c>
      <c r="F148" t="s">
        <v>2928</v>
      </c>
      <c r="G148" t="str">
        <f t="shared" si="2"/>
        <v>PSUBA</v>
      </c>
    </row>
    <row r="149" spans="1:7" x14ac:dyDescent="0.35">
      <c r="A149" t="s">
        <v>3295</v>
      </c>
      <c r="B149" t="s">
        <v>3296</v>
      </c>
      <c r="C149" t="s">
        <v>3297</v>
      </c>
      <c r="D149" t="s">
        <v>516</v>
      </c>
      <c r="E149" t="s">
        <v>18</v>
      </c>
      <c r="F149" t="s">
        <v>517</v>
      </c>
      <c r="G149" t="str">
        <f t="shared" si="2"/>
        <v>REALT</v>
      </c>
    </row>
    <row r="150" spans="1:7" x14ac:dyDescent="0.35">
      <c r="A150" t="s">
        <v>3295</v>
      </c>
      <c r="B150" t="s">
        <v>3298</v>
      </c>
      <c r="C150" t="s">
        <v>3297</v>
      </c>
      <c r="D150" t="s">
        <v>768</v>
      </c>
      <c r="E150" t="s">
        <v>18</v>
      </c>
      <c r="F150" t="s">
        <v>769</v>
      </c>
      <c r="G150" t="str">
        <f t="shared" si="2"/>
        <v>REALT</v>
      </c>
    </row>
    <row r="151" spans="1:7" x14ac:dyDescent="0.35">
      <c r="A151" t="s">
        <v>3295</v>
      </c>
      <c r="B151" t="s">
        <v>3299</v>
      </c>
      <c r="C151" t="s">
        <v>3297</v>
      </c>
      <c r="D151" t="s">
        <v>1041</v>
      </c>
      <c r="E151" t="s">
        <v>18</v>
      </c>
      <c r="F151" t="s">
        <v>1042</v>
      </c>
      <c r="G151" t="str">
        <f t="shared" si="2"/>
        <v>REALT</v>
      </c>
    </row>
    <row r="152" spans="1:7" x14ac:dyDescent="0.35">
      <c r="A152" t="s">
        <v>3295</v>
      </c>
      <c r="B152" t="s">
        <v>3300</v>
      </c>
      <c r="C152" t="s">
        <v>3297</v>
      </c>
      <c r="D152" t="s">
        <v>1246</v>
      </c>
      <c r="E152" t="s">
        <v>18</v>
      </c>
      <c r="F152" t="s">
        <v>1247</v>
      </c>
      <c r="G152" t="str">
        <f t="shared" si="2"/>
        <v>REALT</v>
      </c>
    </row>
    <row r="153" spans="1:7" x14ac:dyDescent="0.35">
      <c r="A153" t="s">
        <v>3295</v>
      </c>
      <c r="B153" t="s">
        <v>3301</v>
      </c>
      <c r="C153" t="s">
        <v>3297</v>
      </c>
      <c r="D153" t="s">
        <v>1749</v>
      </c>
      <c r="E153" t="s">
        <v>18</v>
      </c>
      <c r="F153" t="s">
        <v>1750</v>
      </c>
      <c r="G153" t="str">
        <f t="shared" si="2"/>
        <v>REALT</v>
      </c>
    </row>
    <row r="154" spans="1:7" x14ac:dyDescent="0.35">
      <c r="A154" t="s">
        <v>3295</v>
      </c>
      <c r="B154" t="s">
        <v>3302</v>
      </c>
      <c r="C154" t="s">
        <v>3297</v>
      </c>
      <c r="D154" t="s">
        <v>54</v>
      </c>
      <c r="E154" t="s">
        <v>18</v>
      </c>
      <c r="F154" t="s">
        <v>2046</v>
      </c>
      <c r="G154" t="str">
        <f t="shared" si="2"/>
        <v>REALT</v>
      </c>
    </row>
    <row r="155" spans="1:7" x14ac:dyDescent="0.35">
      <c r="A155" t="s">
        <v>3295</v>
      </c>
      <c r="B155" t="s">
        <v>3303</v>
      </c>
      <c r="C155" t="s">
        <v>3297</v>
      </c>
      <c r="D155" t="s">
        <v>2167</v>
      </c>
      <c r="E155" t="s">
        <v>18</v>
      </c>
      <c r="F155" t="s">
        <v>2168</v>
      </c>
      <c r="G155" t="str">
        <f t="shared" si="2"/>
        <v>REALT</v>
      </c>
    </row>
    <row r="156" spans="1:7" x14ac:dyDescent="0.35">
      <c r="A156" t="s">
        <v>3295</v>
      </c>
      <c r="B156" t="s">
        <v>3304</v>
      </c>
      <c r="C156" t="s">
        <v>3297</v>
      </c>
      <c r="D156" t="s">
        <v>2240</v>
      </c>
      <c r="E156" t="s">
        <v>18</v>
      </c>
      <c r="F156" t="s">
        <v>2241</v>
      </c>
      <c r="G156" t="str">
        <f t="shared" si="2"/>
        <v>REALT</v>
      </c>
    </row>
    <row r="157" spans="1:7" x14ac:dyDescent="0.35">
      <c r="A157" t="s">
        <v>3295</v>
      </c>
      <c r="B157" t="s">
        <v>3305</v>
      </c>
      <c r="C157" t="s">
        <v>3297</v>
      </c>
      <c r="D157" t="s">
        <v>2589</v>
      </c>
      <c r="E157" t="s">
        <v>18</v>
      </c>
      <c r="F157" t="s">
        <v>2590</v>
      </c>
      <c r="G157" t="str">
        <f t="shared" si="2"/>
        <v>REALT</v>
      </c>
    </row>
    <row r="158" spans="1:7" x14ac:dyDescent="0.35">
      <c r="A158" t="s">
        <v>3295</v>
      </c>
      <c r="B158" t="s">
        <v>3306</v>
      </c>
      <c r="C158" t="s">
        <v>3297</v>
      </c>
      <c r="D158" t="s">
        <v>2686</v>
      </c>
      <c r="E158" t="s">
        <v>18</v>
      </c>
      <c r="F158" t="s">
        <v>2687</v>
      </c>
      <c r="G158" t="str">
        <f t="shared" si="2"/>
        <v>REALT</v>
      </c>
    </row>
    <row r="167" spans="1:16" s="16" customFormat="1" x14ac:dyDescent="0.35">
      <c r="A167"/>
      <c r="B167"/>
      <c r="C167"/>
      <c r="D167"/>
      <c r="E167"/>
      <c r="F167"/>
      <c r="G167"/>
      <c r="H167"/>
      <c r="I167"/>
      <c r="K167"/>
      <c r="L167"/>
      <c r="N167"/>
      <c r="P167"/>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RM</vt:lpstr>
      <vt:lpstr>Bhuv</vt:lpstr>
      <vt:lpstr>TB</vt:lpstr>
      <vt:lpstr>Holdings</vt:lpstr>
      <vt:lpstr>WL</vt:lpstr>
      <vt:lpstr>WLH</vt:lpstr>
      <vt:lpstr>MM</vt:lpstr>
      <vt:lpstr>UM</vt:lpstr>
      <vt:lpstr>TM</vt:lpstr>
      <vt:lpstr>Indices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POOVENDRAN ALAGAR SUNDARAM</dc:creator>
  <cp:lastModifiedBy>POOVENDRAN ALAGAR SUNDARAM</cp:lastModifiedBy>
  <dcterms:created xsi:type="dcterms:W3CDTF">2015-06-05T18:17:20Z</dcterms:created>
  <dcterms:modified xsi:type="dcterms:W3CDTF">2020-08-25T18:22:52Z</dcterms:modified>
</cp:coreProperties>
</file>