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filterPrivacy="1" codeName="ThisWorkbook"/>
  <xr:revisionPtr revIDLastSave="0" documentId="13_ncr:1_{87EEA72C-9DB9-4672-AB0E-9358BA55D02B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Data" sheetId="2" r:id="rId1"/>
    <sheet name="LookUp" sheetId="3" r:id="rId2"/>
  </sheets>
  <functionGroups builtInGroupCount="19"/>
  <definedNames>
    <definedName name="Head">LookUp!$E$1:$E$7</definedName>
    <definedName name="SubHead">LookUp!$F$1:$F$3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" i="2" l="1"/>
  <c r="B5" i="2"/>
  <c r="A5" i="2" s="1"/>
  <c r="L4" i="2"/>
  <c r="B4" i="2"/>
  <c r="A4" i="2" s="1"/>
  <c r="L3" i="2"/>
  <c r="B3" i="2"/>
  <c r="A3" i="2" s="1"/>
  <c r="L2" i="2"/>
  <c r="B2" i="2"/>
  <c r="A2" i="2" s="1"/>
</calcChain>
</file>

<file path=xl/sharedStrings.xml><?xml version="1.0" encoding="utf-8"?>
<sst xmlns="http://schemas.openxmlformats.org/spreadsheetml/2006/main" count="142" uniqueCount="71">
  <si>
    <t>YEAR</t>
  </si>
  <si>
    <t>Month</t>
  </si>
  <si>
    <t xml:space="preserve">No  </t>
  </si>
  <si>
    <t xml:space="preserve">Tran ID   </t>
  </si>
  <si>
    <t xml:space="preserve">Value Date  </t>
  </si>
  <si>
    <t xml:space="preserve">Txn Date       </t>
  </si>
  <si>
    <t>Cheque No.</t>
  </si>
  <si>
    <t xml:space="preserve">Description                                                                     </t>
  </si>
  <si>
    <t>Cr/Dr</t>
  </si>
  <si>
    <t>FmtAmount</t>
  </si>
  <si>
    <t xml:space="preserve">SB4116703 </t>
  </si>
  <si>
    <t xml:space="preserve">          </t>
  </si>
  <si>
    <t xml:space="preserve">BIL/000026485640/3rdTermSchoolFee/NSP                                           </t>
  </si>
  <si>
    <t xml:space="preserve">Dr   </t>
  </si>
  <si>
    <t xml:space="preserve">SB4116966 </t>
  </si>
  <si>
    <t xml:space="preserve">BIL/000026485680/2PR_Uniform/NSP                                                </t>
  </si>
  <si>
    <t xml:space="preserve">SB4117379 </t>
  </si>
  <si>
    <t xml:space="preserve">BIL/000026485736/2PR_VanFee/NSP                                                 </t>
  </si>
  <si>
    <t xml:space="preserve">SB4117647 </t>
  </si>
  <si>
    <t xml:space="preserve">BIL/000026485779/2PRJan07/NSP                                                   </t>
  </si>
  <si>
    <t>Head</t>
  </si>
  <si>
    <t>SubHead</t>
  </si>
  <si>
    <t>Available Balance</t>
  </si>
  <si>
    <t>Amount</t>
  </si>
  <si>
    <t>Details</t>
  </si>
  <si>
    <t>Remarks</t>
  </si>
  <si>
    <t>21_Bank</t>
  </si>
  <si>
    <t>01_Interest_Cr</t>
  </si>
  <si>
    <t>02_DPCharge</t>
  </si>
  <si>
    <t>03_Penalty</t>
  </si>
  <si>
    <t>99_Others</t>
  </si>
  <si>
    <t>11_IBM</t>
  </si>
  <si>
    <t>01_Salary</t>
  </si>
  <si>
    <t>02_MedClaim</t>
  </si>
  <si>
    <t>03_Claim</t>
  </si>
  <si>
    <t>01_Parents</t>
  </si>
  <si>
    <t>01_ME</t>
  </si>
  <si>
    <t>02_Chitra</t>
  </si>
  <si>
    <t>03_Kanchana</t>
  </si>
  <si>
    <t>04_Extra</t>
  </si>
  <si>
    <t>02_PR</t>
  </si>
  <si>
    <t>01_God</t>
  </si>
  <si>
    <t>02_Rent_EB_Wtr</t>
  </si>
  <si>
    <t>03_Cable</t>
  </si>
  <si>
    <t>06_Invest2PRAc</t>
  </si>
  <si>
    <t>07_Kutty</t>
  </si>
  <si>
    <t>09_MonthExtra</t>
  </si>
  <si>
    <t>04_FIL</t>
  </si>
  <si>
    <t>01_Karuppu</t>
  </si>
  <si>
    <t>02_FIL</t>
  </si>
  <si>
    <t>03_Mala</t>
  </si>
  <si>
    <t>04_Priya</t>
  </si>
  <si>
    <t>05_Karthik</t>
  </si>
  <si>
    <t>05_AP</t>
  </si>
  <si>
    <t>01_Mobile</t>
  </si>
  <si>
    <t>02_Internet</t>
  </si>
  <si>
    <t>03_Credit Card</t>
  </si>
  <si>
    <t>04_Insurance</t>
  </si>
  <si>
    <t>05_MutuFund</t>
  </si>
  <si>
    <t>06_ATM</t>
  </si>
  <si>
    <t>11_Help</t>
  </si>
  <si>
    <t>22_ICICI_Ploan</t>
  </si>
  <si>
    <t>07_LIC</t>
  </si>
  <si>
    <t>06_Kutty</t>
  </si>
  <si>
    <t>01_SchoolFee</t>
  </si>
  <si>
    <t>02_TutionFee</t>
  </si>
  <si>
    <t>HeadSubHead</t>
  </si>
  <si>
    <t>05_AP - 05_MutuFund</t>
  </si>
  <si>
    <t>06_Kutty - 02_TutionFee</t>
  </si>
  <si>
    <t>01_Parents - 02_Chitra</t>
  </si>
  <si>
    <t>21_Bank - 03_Penalty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</si>
</sst>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0.00_);[Red]\(0.00\)"/>
  </numFmts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65" fontId="1" fillId="0" borderId="0" xfId="0" applyNumberFormat="1" applyFont="1" applyAlignment="1"/>
    <xf numFmtId="2" fontId="1" fillId="0" borderId="0" xfId="0" applyNumberFormat="1" applyFont="1" applyAlignment="1">
      <alignment horizontal="center"/>
    </xf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2" fontId="0" fillId="0" borderId="0" xfId="0" applyNumberFormat="1"/>
    <xf numFmtId="165" fontId="1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7"/>
  <sheetViews>
    <sheetView tabSelected="1" topLeftCell="C1" workbookViewId="0">
      <selection activeCell="K6" sqref="K6"/>
    </sheetView>
  </sheetViews>
  <sheetFormatPr defaultRowHeight="14.5" x14ac:dyDescent="0.35"/>
  <cols>
    <col min="1" max="1" width="5.54296875" bestFit="1" customWidth="1"/>
    <col min="2" max="2" width="7.453125" bestFit="1" customWidth="1"/>
    <col min="3" max="3" width="4.26953125" bestFit="1" customWidth="1"/>
    <col min="4" max="4" width="10.26953125" bestFit="1" customWidth="1"/>
    <col min="5" max="5" width="11.1796875" bestFit="1" customWidth="1"/>
    <col min="6" max="6" width="12.453125" bestFit="1" customWidth="1"/>
    <col min="7" max="7" width="10.81640625" bestFit="1" customWidth="1"/>
    <col min="8" max="8" width="23.1796875" customWidth="1"/>
    <col min="9" max="9" width="5.453125" bestFit="1" customWidth="1"/>
    <col min="10" max="10" width="9" bestFit="1" customWidth="1"/>
    <col min="11" max="11" width="15.81640625" style="12" bestFit="1" customWidth="1"/>
    <col min="12" max="12" width="10.7265625" bestFit="1" customWidth="1"/>
    <col min="13" max="13" width="10.1796875" bestFit="1" customWidth="1"/>
    <col min="14" max="14" width="12.54296875" bestFit="1" customWidth="1"/>
    <col min="15" max="15" width="21.26953125" bestFit="1" customWidth="1"/>
  </cols>
  <sheetData>
    <row r="1" spans="1:16" x14ac:dyDescent="0.3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1" t="s">
        <v>6</v>
      </c>
      <c r="H1" s="3" t="s">
        <v>7</v>
      </c>
      <c r="I1" s="1" t="s">
        <v>8</v>
      </c>
      <c r="J1" s="4" t="s">
        <v>23</v>
      </c>
      <c r="K1" s="10" t="s">
        <v>22</v>
      </c>
      <c r="L1" s="5" t="s">
        <v>9</v>
      </c>
      <c r="M1" t="s">
        <v>20</v>
      </c>
      <c r="N1" t="s">
        <v>21</v>
      </c>
      <c r="O1" t="s">
        <v>66</v>
      </c>
      <c r="P1" t="s">
        <v>24</v>
      </c>
    </row>
    <row r="2" spans="1:16" x14ac:dyDescent="0.35">
      <c r="A2" t="str">
        <f>+LEFT(B2,4)</f>
        <v>2007</v>
      </c>
      <c r="B2" t="str">
        <f>+IF(LEN(MONTH(E2))&gt;1,YEAR(E2)&amp;"-"&amp;MONTH(E2),YEAR(E2)&amp;"-0"&amp;MONTH(E2))</f>
        <v>2007-01</v>
      </c>
      <c r="C2">
        <v>1</v>
      </c>
      <c r="D2" t="s">
        <v>10</v>
      </c>
      <c r="E2" s="6">
        <v>39083</v>
      </c>
      <c r="F2" s="7">
        <v>39083</v>
      </c>
      <c r="G2" t="s">
        <v>11</v>
      </c>
      <c r="H2" t="s">
        <v>12</v>
      </c>
      <c r="I2" t="s">
        <v>13</v>
      </c>
      <c r="J2" s="8">
        <v>6500</v>
      </c>
      <c r="K2" s="11">
        <v>29670.36</v>
      </c>
      <c r="L2" s="9">
        <f>+IF(TRIM(I2)="Dr",(-1)*J2,J2)</f>
        <v>-6500</v>
      </c>
      <c r="M2" t="s">
        <v>35</v>
      </c>
      <c r="N2" t="s">
        <v>37</v>
      </c>
      <c r="O2" t="s">
        <v>69</v>
      </c>
    </row>
    <row r="3" spans="1:16" x14ac:dyDescent="0.35">
      <c r="A3" t="str">
        <f>+LEFT(B3,4)</f>
        <v>2007</v>
      </c>
      <c r="B3" t="str">
        <f>+IF(LEN(MONTH(E3))&gt;1,YEAR(E3)&amp;"-"&amp;MONTH(E3),YEAR(E3)&amp;"-0"&amp;MONTH(E3))</f>
        <v>2007-01</v>
      </c>
      <c r="C3">
        <v>2</v>
      </c>
      <c r="D3" t="s">
        <v>14</v>
      </c>
      <c r="E3" s="6">
        <v>39083</v>
      </c>
      <c r="F3" s="7">
        <v>39083</v>
      </c>
      <c r="G3" t="s">
        <v>11</v>
      </c>
      <c r="H3" t="s">
        <v>15</v>
      </c>
      <c r="I3" t="s">
        <v>13</v>
      </c>
      <c r="J3" s="8">
        <v>690</v>
      </c>
      <c r="K3" s="11">
        <v>28980.36</v>
      </c>
      <c r="L3" s="9">
        <f>+IF(TRIM(I3)="Dr",(-1)*J3,J3)</f>
        <v>-690</v>
      </c>
      <c r="M3" t="s">
        <v>26</v>
      </c>
      <c r="N3" t="s">
        <v>29</v>
      </c>
      <c r="O3" t="s">
        <v>70</v>
      </c>
    </row>
    <row r="4" spans="1:16" x14ac:dyDescent="0.35">
      <c r="A4" t="str">
        <f>+LEFT(B4,4)</f>
        <v>2007</v>
      </c>
      <c r="B4" t="str">
        <f>+IF(LEN(MONTH(E4))&gt;1,YEAR(E4)&amp;"-"&amp;MONTH(E4),YEAR(E4)&amp;"-0"&amp;MONTH(E4))</f>
        <v>2007-01</v>
      </c>
      <c r="C4">
        <v>3</v>
      </c>
      <c r="D4" t="s">
        <v>16</v>
      </c>
      <c r="E4" s="6">
        <v>39083</v>
      </c>
      <c r="F4" s="7">
        <v>39083</v>
      </c>
      <c r="G4" t="s">
        <v>11</v>
      </c>
      <c r="H4" t="s">
        <v>17</v>
      </c>
      <c r="I4" t="s">
        <v>13</v>
      </c>
      <c r="J4" s="8">
        <v>2600</v>
      </c>
      <c r="K4" s="11">
        <v>26380.36</v>
      </c>
      <c r="L4" s="9">
        <f>+IF(TRIM(I4)="Dr",(-1)*J4,J4)</f>
        <v>-2600</v>
      </c>
      <c r="M4" t="s">
        <v>63</v>
      </c>
      <c r="N4" t="s">
        <v>65</v>
      </c>
      <c r="O4" t="s">
        <v>68</v>
      </c>
    </row>
    <row r="5" spans="1:16" x14ac:dyDescent="0.35">
      <c r="A5" t="str">
        <f>+LEFT(B5,4)</f>
        <v>2007</v>
      </c>
      <c r="B5" t="str">
        <f>+IF(LEN(MONTH(E5))&gt;1,YEAR(E5)&amp;"-"&amp;MONTH(E5),YEAR(E5)&amp;"-0"&amp;MONTH(E5))</f>
        <v>2007-01</v>
      </c>
      <c r="C5">
        <v>4</v>
      </c>
      <c r="D5" t="s">
        <v>18</v>
      </c>
      <c r="E5" s="6">
        <v>39083</v>
      </c>
      <c r="F5" s="7">
        <v>39083</v>
      </c>
      <c r="G5" t="s">
        <v>11</v>
      </c>
      <c r="H5" t="s">
        <v>19</v>
      </c>
      <c r="I5" t="s">
        <v>13</v>
      </c>
      <c r="J5" s="8">
        <v>10000</v>
      </c>
      <c r="K5" s="11">
        <v>16380.36</v>
      </c>
      <c r="L5" s="9">
        <f>+IF(TRIM(I5)="Dr",(-1)*J5,J5)</f>
        <v>-10000</v>
      </c>
      <c r="M5" t="s">
        <v>53</v>
      </c>
      <c r="N5" t="s">
        <v>58</v>
      </c>
      <c r="O5" t="s">
        <v>67</v>
      </c>
    </row>
    <row r="6" spans="1:16" x14ac:dyDescent="0.35">
      <c r="M6" t="s">
        <v>35</v>
      </c>
      <c r="N6" t="s">
        <v>37</v>
      </c>
      <c r="O6" t="s">
        <v>69</v>
      </c>
    </row>
    <row r="7" spans="1:16" x14ac:dyDescent="0.35">
      <c r="M7" t="s">
        <v>63</v>
      </c>
      <c r="N7" t="s">
        <v>65</v>
      </c>
      <c r="O7" t="s">
        <v>68</v>
      </c>
    </row>
  </sheetData>
  <dataValidations count="2">
    <dataValidation type="list" allowBlank="1" showInputMessage="1" showErrorMessage="1" sqref="M1:M1048576" xr:uid="{00000000-0002-0000-0000-000000000000}">
      <formula1>Head</formula1>
    </dataValidation>
    <dataValidation type="list" allowBlank="1" showInputMessage="1" showErrorMessage="1" sqref="N1:N1048576" xr:uid="{00000000-0002-0000-0000-000001000000}">
      <formula1>SubHead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40"/>
  <sheetViews>
    <sheetView workbookViewId="0">
      <selection activeCell="H10" sqref="H10"/>
    </sheetView>
  </sheetViews>
  <sheetFormatPr defaultRowHeight="14.5" x14ac:dyDescent="0.35"/>
  <cols>
    <col min="2" max="2" width="13.81640625" bestFit="1" customWidth="1"/>
    <col min="5" max="5" width="10.1796875" bestFit="1" customWidth="1"/>
    <col min="6" max="6" width="15" bestFit="1" customWidth="1"/>
  </cols>
  <sheetData>
    <row r="1" spans="1:6" x14ac:dyDescent="0.35">
      <c r="A1" t="s">
        <v>20</v>
      </c>
      <c r="B1" t="s">
        <v>21</v>
      </c>
      <c r="C1" t="s">
        <v>24</v>
      </c>
      <c r="D1" t="s">
        <v>25</v>
      </c>
      <c r="E1" t="s">
        <v>35</v>
      </c>
      <c r="F1" t="s">
        <v>64</v>
      </c>
    </row>
    <row r="2" spans="1:6" x14ac:dyDescent="0.35">
      <c r="A2" t="s">
        <v>35</v>
      </c>
      <c r="B2" t="s">
        <v>36</v>
      </c>
      <c r="E2" t="s">
        <v>40</v>
      </c>
      <c r="F2" t="s">
        <v>65</v>
      </c>
    </row>
    <row r="3" spans="1:6" x14ac:dyDescent="0.35">
      <c r="A3" t="s">
        <v>35</v>
      </c>
      <c r="B3" t="s">
        <v>37</v>
      </c>
      <c r="E3" t="s">
        <v>47</v>
      </c>
      <c r="F3" t="s">
        <v>30</v>
      </c>
    </row>
    <row r="4" spans="1:6" x14ac:dyDescent="0.35">
      <c r="A4" t="s">
        <v>35</v>
      </c>
      <c r="B4" t="s">
        <v>38</v>
      </c>
      <c r="E4" t="s">
        <v>53</v>
      </c>
    </row>
    <row r="5" spans="1:6" x14ac:dyDescent="0.35">
      <c r="A5" s="13" t="s">
        <v>35</v>
      </c>
      <c r="B5" s="13" t="s">
        <v>39</v>
      </c>
      <c r="E5" t="s">
        <v>63</v>
      </c>
    </row>
    <row r="6" spans="1:6" x14ac:dyDescent="0.35">
      <c r="A6" s="13" t="s">
        <v>35</v>
      </c>
      <c r="B6" s="13" t="s">
        <v>30</v>
      </c>
      <c r="E6" t="s">
        <v>31</v>
      </c>
    </row>
    <row r="7" spans="1:6" x14ac:dyDescent="0.35">
      <c r="A7" s="13" t="s">
        <v>40</v>
      </c>
      <c r="B7" s="13" t="s">
        <v>41</v>
      </c>
      <c r="E7" t="s">
        <v>26</v>
      </c>
    </row>
    <row r="8" spans="1:6" x14ac:dyDescent="0.35">
      <c r="A8" s="13" t="s">
        <v>40</v>
      </c>
      <c r="B8" s="13" t="s">
        <v>42</v>
      </c>
    </row>
    <row r="9" spans="1:6" x14ac:dyDescent="0.35">
      <c r="A9" s="13" t="s">
        <v>40</v>
      </c>
      <c r="B9" s="13" t="s">
        <v>43</v>
      </c>
    </row>
    <row r="10" spans="1:6" x14ac:dyDescent="0.35">
      <c r="A10" s="13" t="s">
        <v>40</v>
      </c>
      <c r="B10" s="13" t="s">
        <v>44</v>
      </c>
    </row>
    <row r="11" spans="1:6" x14ac:dyDescent="0.35">
      <c r="A11" s="13" t="s">
        <v>40</v>
      </c>
      <c r="B11" s="13" t="s">
        <v>45</v>
      </c>
    </row>
    <row r="12" spans="1:6" x14ac:dyDescent="0.35">
      <c r="A12" t="s">
        <v>40</v>
      </c>
      <c r="B12" t="s">
        <v>46</v>
      </c>
    </row>
    <row r="13" spans="1:6" x14ac:dyDescent="0.35">
      <c r="A13" t="s">
        <v>40</v>
      </c>
      <c r="B13" t="s">
        <v>30</v>
      </c>
    </row>
    <row r="14" spans="1:6" x14ac:dyDescent="0.35">
      <c r="A14" t="s">
        <v>47</v>
      </c>
      <c r="B14" t="s">
        <v>48</v>
      </c>
    </row>
    <row r="15" spans="1:6" x14ac:dyDescent="0.35">
      <c r="A15" t="s">
        <v>47</v>
      </c>
      <c r="B15" t="s">
        <v>49</v>
      </c>
    </row>
    <row r="16" spans="1:6" x14ac:dyDescent="0.35">
      <c r="A16" t="s">
        <v>47</v>
      </c>
      <c r="B16" t="s">
        <v>50</v>
      </c>
    </row>
    <row r="17" spans="1:2" x14ac:dyDescent="0.35">
      <c r="A17" t="s">
        <v>47</v>
      </c>
      <c r="B17" t="s">
        <v>51</v>
      </c>
    </row>
    <row r="18" spans="1:2" x14ac:dyDescent="0.35">
      <c r="A18" t="s">
        <v>47</v>
      </c>
      <c r="B18" t="s">
        <v>52</v>
      </c>
    </row>
    <row r="19" spans="1:2" x14ac:dyDescent="0.35">
      <c r="A19" t="s">
        <v>47</v>
      </c>
      <c r="B19" t="s">
        <v>30</v>
      </c>
    </row>
    <row r="20" spans="1:2" x14ac:dyDescent="0.35">
      <c r="A20" t="s">
        <v>53</v>
      </c>
      <c r="B20" t="s">
        <v>54</v>
      </c>
    </row>
    <row r="21" spans="1:2" x14ac:dyDescent="0.35">
      <c r="A21" t="s">
        <v>53</v>
      </c>
      <c r="B21" t="s">
        <v>55</v>
      </c>
    </row>
    <row r="22" spans="1:2" x14ac:dyDescent="0.35">
      <c r="A22" t="s">
        <v>53</v>
      </c>
      <c r="B22" t="s">
        <v>56</v>
      </c>
    </row>
    <row r="23" spans="1:2" x14ac:dyDescent="0.35">
      <c r="A23" t="s">
        <v>53</v>
      </c>
      <c r="B23" t="s">
        <v>57</v>
      </c>
    </row>
    <row r="24" spans="1:2" x14ac:dyDescent="0.35">
      <c r="A24" t="s">
        <v>53</v>
      </c>
      <c r="B24" t="s">
        <v>58</v>
      </c>
    </row>
    <row r="25" spans="1:2" x14ac:dyDescent="0.35">
      <c r="A25" t="s">
        <v>53</v>
      </c>
      <c r="B25" t="s">
        <v>59</v>
      </c>
    </row>
    <row r="26" spans="1:2" x14ac:dyDescent="0.35">
      <c r="A26" t="s">
        <v>53</v>
      </c>
      <c r="B26" t="s">
        <v>60</v>
      </c>
    </row>
    <row r="27" spans="1:2" x14ac:dyDescent="0.35">
      <c r="A27" t="s">
        <v>53</v>
      </c>
      <c r="B27" t="s">
        <v>61</v>
      </c>
    </row>
    <row r="28" spans="1:2" x14ac:dyDescent="0.35">
      <c r="A28" t="s">
        <v>53</v>
      </c>
      <c r="B28" t="s">
        <v>62</v>
      </c>
    </row>
    <row r="29" spans="1:2" x14ac:dyDescent="0.35">
      <c r="A29" t="s">
        <v>53</v>
      </c>
      <c r="B29" t="s">
        <v>30</v>
      </c>
    </row>
    <row r="30" spans="1:2" x14ac:dyDescent="0.35">
      <c r="A30" t="s">
        <v>63</v>
      </c>
      <c r="B30" t="s">
        <v>64</v>
      </c>
    </row>
    <row r="31" spans="1:2" x14ac:dyDescent="0.35">
      <c r="A31" t="s">
        <v>63</v>
      </c>
      <c r="B31" t="s">
        <v>65</v>
      </c>
    </row>
    <row r="32" spans="1:2" x14ac:dyDescent="0.35">
      <c r="A32" t="s">
        <v>63</v>
      </c>
      <c r="B32" t="s">
        <v>30</v>
      </c>
    </row>
    <row r="33" spans="1:2" x14ac:dyDescent="0.35">
      <c r="A33" t="s">
        <v>31</v>
      </c>
      <c r="B33" t="s">
        <v>32</v>
      </c>
    </row>
    <row r="34" spans="1:2" x14ac:dyDescent="0.35">
      <c r="A34" t="s">
        <v>31</v>
      </c>
      <c r="B34" t="s">
        <v>33</v>
      </c>
    </row>
    <row r="35" spans="1:2" x14ac:dyDescent="0.35">
      <c r="A35" t="s">
        <v>31</v>
      </c>
      <c r="B35" t="s">
        <v>34</v>
      </c>
    </row>
    <row r="36" spans="1:2" x14ac:dyDescent="0.35">
      <c r="A36" t="s">
        <v>31</v>
      </c>
      <c r="B36" t="s">
        <v>30</v>
      </c>
    </row>
    <row r="37" spans="1:2" x14ac:dyDescent="0.35">
      <c r="A37" t="s">
        <v>26</v>
      </c>
      <c r="B37" t="s">
        <v>27</v>
      </c>
    </row>
    <row r="38" spans="1:2" x14ac:dyDescent="0.35">
      <c r="A38" t="s">
        <v>26</v>
      </c>
      <c r="B38" t="s">
        <v>28</v>
      </c>
    </row>
    <row r="39" spans="1:2" x14ac:dyDescent="0.35">
      <c r="A39" t="s">
        <v>26</v>
      </c>
      <c r="B39" t="s">
        <v>29</v>
      </c>
    </row>
    <row r="40" spans="1:2" x14ac:dyDescent="0.35">
      <c r="A40" t="s">
        <v>26</v>
      </c>
      <c r="B4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LookUp</vt:lpstr>
      <vt:lpstr>Head</vt:lpstr>
      <vt:lpstr>SubHead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2020-07-26T06:14:14Z</dcterms:modified>
</cp:coreProperties>
</file>